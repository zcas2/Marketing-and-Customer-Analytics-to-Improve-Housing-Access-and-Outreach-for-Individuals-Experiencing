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ed\Downloads\"/>
    </mc:Choice>
  </mc:AlternateContent>
  <xr:revisionPtr revIDLastSave="0" documentId="13_ncr:1_{9D0D3747-B2EC-4893-9C78-F9F00DF022A8}" xr6:coauthVersionLast="47" xr6:coauthVersionMax="47" xr10:uidLastSave="{00000000-0000-0000-0000-000000000000}"/>
  <bookViews>
    <workbookView xWindow="-103" yWindow="-103" windowWidth="16663" windowHeight="9463" xr2:uid="{0978BFB1-2CED-4A95-92C0-F1449A09382A}"/>
  </bookViews>
  <sheets>
    <sheet name="Forecast" sheetId="7" r:id="rId1"/>
    <sheet name="NC" sheetId="2" r:id="rId2"/>
    <sheet name="Cumberland" sheetId="1" r:id="rId3"/>
    <sheet name="Combined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5" i="4" l="1"/>
  <c r="U5" i="4"/>
  <c r="V5" i="4"/>
  <c r="T4" i="4"/>
  <c r="U4" i="4"/>
  <c r="V4" i="4"/>
  <c r="T3" i="4"/>
  <c r="U3" i="4"/>
  <c r="V3" i="4"/>
  <c r="T2" i="4"/>
  <c r="U2" i="4"/>
  <c r="V2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B3" i="4"/>
  <c r="S2" i="4"/>
  <c r="O2" i="4"/>
  <c r="P2" i="4"/>
  <c r="Q2" i="4"/>
  <c r="R2" i="4"/>
  <c r="C2" i="4"/>
  <c r="D2" i="4"/>
  <c r="E2" i="4"/>
  <c r="F2" i="4"/>
  <c r="G2" i="4"/>
  <c r="H2" i="4"/>
  <c r="I2" i="4"/>
  <c r="J2" i="4"/>
  <c r="K2" i="4"/>
  <c r="L2" i="4"/>
  <c r="M2" i="4"/>
  <c r="N2" i="4"/>
  <c r="B2" i="4"/>
  <c r="A4" i="4"/>
  <c r="A5" i="4"/>
  <c r="A3" i="4"/>
  <c r="E18" i="7"/>
  <c r="E19" i="7"/>
  <c r="E17" i="7"/>
  <c r="D18" i="7"/>
  <c r="D19" i="7"/>
  <c r="D17" i="7"/>
  <c r="H19" i="7"/>
  <c r="J19" i="7" s="1"/>
  <c r="H18" i="7"/>
  <c r="J18" i="7" s="1"/>
  <c r="H17" i="7"/>
  <c r="J17" i="7" s="1"/>
  <c r="H13" i="7"/>
  <c r="I13" i="7" s="1"/>
  <c r="H12" i="7"/>
  <c r="I12" i="7" s="1"/>
  <c r="H11" i="7"/>
  <c r="I11" i="7" s="1"/>
  <c r="H7" i="7"/>
  <c r="J7" i="7" s="1"/>
  <c r="H6" i="7"/>
  <c r="J6" i="7" s="1"/>
  <c r="H5" i="7"/>
  <c r="J5" i="7" s="1"/>
  <c r="C19" i="7"/>
  <c r="C18" i="7"/>
  <c r="C17" i="7"/>
  <c r="C13" i="7"/>
  <c r="D13" i="7" s="1"/>
  <c r="C12" i="7"/>
  <c r="D12" i="7" s="1"/>
  <c r="C11" i="7"/>
  <c r="E11" i="7" s="1"/>
  <c r="C7" i="7"/>
  <c r="D7" i="7" s="1"/>
  <c r="C6" i="7"/>
  <c r="E6" i="7" s="1"/>
  <c r="C5" i="7"/>
  <c r="D5" i="7" s="1"/>
  <c r="T37" i="2"/>
  <c r="U37" i="2" s="1"/>
  <c r="V37" i="2" s="1"/>
  <c r="T31" i="2"/>
  <c r="U31" i="2" s="1"/>
  <c r="V31" i="2" s="1"/>
  <c r="T37" i="1"/>
  <c r="U37" i="1" s="1"/>
  <c r="V37" i="1" s="1"/>
  <c r="T31" i="1"/>
  <c r="U31" i="1" s="1"/>
  <c r="V31" i="1" s="1"/>
  <c r="X39" i="1"/>
  <c r="X40" i="1"/>
  <c r="X38" i="1"/>
  <c r="C37" i="2"/>
  <c r="D37" i="2"/>
  <c r="E37" i="2"/>
  <c r="F37" i="2"/>
  <c r="P37" i="2"/>
  <c r="Q37" i="2"/>
  <c r="R37" i="2"/>
  <c r="B37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R31" i="2"/>
  <c r="Q31" i="2"/>
  <c r="P31" i="2"/>
  <c r="O31" i="2"/>
  <c r="O37" i="2" s="1"/>
  <c r="N31" i="2"/>
  <c r="N37" i="2" s="1"/>
  <c r="M31" i="2"/>
  <c r="M37" i="2" s="1"/>
  <c r="L31" i="2"/>
  <c r="L37" i="2" s="1"/>
  <c r="K31" i="2"/>
  <c r="K37" i="2" s="1"/>
  <c r="J31" i="2"/>
  <c r="J37" i="2" s="1"/>
  <c r="I31" i="2"/>
  <c r="I37" i="2" s="1"/>
  <c r="H31" i="2"/>
  <c r="H37" i="2" s="1"/>
  <c r="G31" i="2"/>
  <c r="G37" i="2" s="1"/>
  <c r="F31" i="2"/>
  <c r="E31" i="2"/>
  <c r="D31" i="2"/>
  <c r="C31" i="2"/>
  <c r="B31" i="2"/>
  <c r="A31" i="2"/>
  <c r="S2" i="2"/>
  <c r="S31" i="2" s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N37" i="1"/>
  <c r="M37" i="1"/>
  <c r="L37" i="1"/>
  <c r="K37" i="1"/>
  <c r="J37" i="1"/>
  <c r="I37" i="1"/>
  <c r="H37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38" i="1" s="1" a="1"/>
  <c r="A38" i="1" s="1"/>
  <c r="S31" i="1"/>
  <c r="S37" i="1" s="1"/>
  <c r="R31" i="1"/>
  <c r="R37" i="1" s="1"/>
  <c r="Q31" i="1"/>
  <c r="Q37" i="1" s="1"/>
  <c r="P31" i="1"/>
  <c r="P37" i="1" s="1"/>
  <c r="O31" i="1"/>
  <c r="O37" i="1" s="1"/>
  <c r="N31" i="1"/>
  <c r="M31" i="1"/>
  <c r="L31" i="1"/>
  <c r="K31" i="1"/>
  <c r="J31" i="1"/>
  <c r="I31" i="1"/>
  <c r="H31" i="1"/>
  <c r="G31" i="1"/>
  <c r="G37" i="1" s="1"/>
  <c r="F31" i="1"/>
  <c r="F37" i="1" s="1"/>
  <c r="E31" i="1"/>
  <c r="E37" i="1" s="1"/>
  <c r="D31" i="1"/>
  <c r="D37" i="1" s="1"/>
  <c r="C31" i="1"/>
  <c r="C37" i="1" s="1"/>
  <c r="B31" i="1"/>
  <c r="B37" i="1" s="1"/>
  <c r="A31" i="1"/>
  <c r="T2" i="1"/>
  <c r="U2" i="1" s="1"/>
  <c r="V2" i="1" s="1"/>
  <c r="S2" i="1"/>
  <c r="S8" i="2"/>
  <c r="S6" i="2"/>
  <c r="S8" i="1"/>
  <c r="S7" i="1"/>
  <c r="S7" i="2"/>
  <c r="S6" i="1"/>
  <c r="I5" i="7" l="1"/>
  <c r="I7" i="7"/>
  <c r="I6" i="7"/>
  <c r="J11" i="7"/>
  <c r="J12" i="7"/>
  <c r="I19" i="7"/>
  <c r="I18" i="7"/>
  <c r="D6" i="7"/>
  <c r="J13" i="7"/>
  <c r="D11" i="7"/>
  <c r="E5" i="7"/>
  <c r="I17" i="7"/>
  <c r="E13" i="7"/>
  <c r="E7" i="7"/>
  <c r="E12" i="7"/>
  <c r="S37" i="2"/>
  <c r="T2" i="2"/>
  <c r="U2" i="2" s="1"/>
  <c r="V2" i="2" s="1"/>
  <c r="A38" i="2" a="1"/>
  <c r="A38" i="2" s="1"/>
  <c r="S32" i="2"/>
  <c r="T3" i="2"/>
  <c r="S38" i="2"/>
  <c r="X38" i="2" s="1"/>
  <c r="S39" i="2"/>
  <c r="X39" i="2" s="1"/>
  <c r="S33" i="2"/>
  <c r="T4" i="2"/>
  <c r="S34" i="2"/>
  <c r="S40" i="2"/>
  <c r="X40" i="2" s="1"/>
  <c r="T5" i="2"/>
  <c r="S32" i="1"/>
  <c r="T3" i="1"/>
  <c r="U3" i="1" s="1"/>
  <c r="S38" i="1"/>
  <c r="T5" i="1"/>
  <c r="S40" i="1"/>
  <c r="S34" i="1"/>
  <c r="T4" i="1"/>
  <c r="U4" i="1" s="1"/>
  <c r="S39" i="1"/>
  <c r="S33" i="1"/>
  <c r="T33" i="2" l="1"/>
  <c r="T39" i="2"/>
  <c r="T40" i="2"/>
  <c r="T34" i="2"/>
  <c r="T32" i="2"/>
  <c r="T38" i="2"/>
  <c r="U5" i="2"/>
  <c r="V5" i="2"/>
  <c r="U4" i="2"/>
  <c r="U3" i="2"/>
  <c r="U33" i="1"/>
  <c r="U39" i="1"/>
  <c r="T34" i="1"/>
  <c r="T40" i="1"/>
  <c r="U5" i="1"/>
  <c r="T32" i="1"/>
  <c r="T38" i="1"/>
  <c r="V4" i="1"/>
  <c r="U38" i="1"/>
  <c r="U32" i="1"/>
  <c r="V3" i="1"/>
  <c r="T33" i="1"/>
  <c r="T39" i="1"/>
  <c r="V5" i="1"/>
  <c r="V40" i="2" l="1"/>
  <c r="U40" i="2"/>
  <c r="U34" i="2"/>
  <c r="U32" i="2"/>
  <c r="U38" i="2"/>
  <c r="U39" i="2"/>
  <c r="U33" i="2"/>
  <c r="V3" i="2"/>
  <c r="V4" i="2"/>
  <c r="V34" i="1"/>
  <c r="V40" i="1"/>
  <c r="V32" i="1"/>
  <c r="V38" i="1"/>
  <c r="V39" i="1"/>
  <c r="V33" i="1"/>
  <c r="U40" i="1"/>
  <c r="U34" i="1"/>
  <c r="V32" i="2" l="1"/>
  <c r="V38" i="2"/>
  <c r="V34" i="2"/>
  <c r="V33" i="2"/>
  <c r="V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tc={AEF3CEB4-B9ED-49EB-92E4-95B17DC72A87}</author>
  </authors>
  <commentList>
    <comment ref="X37" authorId="0" shapeId="0" xr:uid="{AEF3CEB4-B9ED-49EB-92E4-95B17DC72A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2021 and 2022 were removed to eliminate the extreme volatility in determining a reasonable forecast with the STDEV.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tc={8754C053-0C82-4004-8A12-53D4589C88D8}</author>
  </authors>
  <commentList>
    <comment ref="X37" authorId="0" shapeId="0" xr:uid="{8754C053-0C82-4004-8A12-53D4589C88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2021 and 2022 were removed to eliminate the extreme volatility in determining a reasonable forecast with the STDEV.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<sst xmlns="http://schemas.openxmlformats.org/spreadsheetml/2006/main" count="170" uniqueCount="23">
  <si>
    <t>NC-511</t>
  </si>
  <si>
    <t>FORECAST w/ 3 Yr Roll AVG</t>
  </si>
  <si>
    <t>Fayetteville/Cumberland County CoC</t>
  </si>
  <si>
    <t>Overall Homeless</t>
  </si>
  <si>
    <t>Sheltered Total Homeless</t>
  </si>
  <si>
    <t>Unsheltered Homeless</t>
  </si>
  <si>
    <t/>
  </si>
  <si>
    <t>Year-to Year % Dif</t>
  </si>
  <si>
    <t>STDEV 2007-2024</t>
  </si>
  <si>
    <t>NC</t>
  </si>
  <si>
    <t>North Carolina</t>
  </si>
  <si>
    <t>Cumberland County</t>
  </si>
  <si>
    <t>2025 Forecast</t>
  </si>
  <si>
    <t>2026 Forecast</t>
  </si>
  <si>
    <t>2027 Forecast</t>
  </si>
  <si>
    <t>Forecast</t>
  </si>
  <si>
    <t>Year</t>
  </si>
  <si>
    <t>Total Homeless</t>
  </si>
  <si>
    <t>Lower Band</t>
  </si>
  <si>
    <t>Upper Band</t>
  </si>
  <si>
    <t>Volatility</t>
  </si>
  <si>
    <t>Sheltered Homeless</t>
  </si>
  <si>
    <t>Cumberland Divided by State of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</si>
</sst>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6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4"/>
      <name val="Arial"/>
      <family val="2"/>
    </font>
    <font>
      <b/>
      <i/>
      <sz val="14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E8E6D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1F3C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1" fontId="7" fillId="2" borderId="7" xfId="0" applyNumberFormat="1" applyFont="1" applyFill="1" applyBorder="1" applyAlignment="1">
      <alignment horizontal="center" vertical="center" wrapText="1"/>
    </xf>
    <xf numFmtId="1" fontId="7" fillId="2" borderId="8" xfId="0" applyNumberFormat="1" applyFont="1" applyFill="1" applyBorder="1" applyAlignment="1">
      <alignment horizontal="center" vertical="center" wrapText="1"/>
    </xf>
    <xf numFmtId="1" fontId="7" fillId="2" borderId="9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4" borderId="10" xfId="0" applyNumberFormat="1" applyFill="1" applyBorder="1" applyAlignment="1">
      <alignment horizontal="left" vertical="top"/>
    </xf>
    <xf numFmtId="1" fontId="0" fillId="4" borderId="1" xfId="0" applyNumberFormat="1" applyFill="1" applyBorder="1" applyAlignment="1">
      <alignment horizontal="left" vertical="top"/>
    </xf>
    <xf numFmtId="1" fontId="0" fillId="4" borderId="11" xfId="0" applyNumberForma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" fontId="0" fillId="4" borderId="12" xfId="0" applyNumberFormat="1" applyFill="1" applyBorder="1" applyAlignment="1">
      <alignment horizontal="left" vertical="top"/>
    </xf>
    <xf numFmtId="1" fontId="0" fillId="4" borderId="13" xfId="0" applyNumberFormat="1" applyFill="1" applyBorder="1" applyAlignment="1">
      <alignment horizontal="left" vertical="top"/>
    </xf>
    <xf numFmtId="1" fontId="0" fillId="4" borderId="14" xfId="0" applyNumberFormat="1" applyFill="1" applyBorder="1" applyAlignment="1">
      <alignment horizontal="left" vertical="top"/>
    </xf>
    <xf numFmtId="1" fontId="6" fillId="3" borderId="5" xfId="0" applyNumberFormat="1" applyFont="1" applyFill="1" applyBorder="1" applyAlignment="1">
      <alignment horizontal="center" vertical="center" wrapText="1"/>
    </xf>
    <xf numFmtId="1" fontId="6" fillId="3" borderId="6" xfId="0" applyNumberFormat="1" applyFont="1" applyFill="1" applyBorder="1" applyAlignment="1">
      <alignment horizontal="center" vertical="center" wrapText="1"/>
    </xf>
    <xf numFmtId="164" fontId="0" fillId="5" borderId="22" xfId="1" applyNumberFormat="1" applyFont="1" applyFill="1" applyBorder="1"/>
    <xf numFmtId="164" fontId="0" fillId="5" borderId="1" xfId="1" applyNumberFormat="1" applyFont="1" applyFill="1" applyBorder="1"/>
    <xf numFmtId="164" fontId="0" fillId="5" borderId="11" xfId="1" applyNumberFormat="1" applyFont="1" applyFill="1" applyBorder="1"/>
    <xf numFmtId="164" fontId="0" fillId="5" borderId="24" xfId="1" applyNumberFormat="1" applyFont="1" applyFill="1" applyBorder="1"/>
    <xf numFmtId="164" fontId="0" fillId="5" borderId="13" xfId="1" applyNumberFormat="1" applyFont="1" applyFill="1" applyBorder="1"/>
    <xf numFmtId="164" fontId="0" fillId="5" borderId="14" xfId="1" applyNumberFormat="1" applyFont="1" applyFill="1" applyBorder="1"/>
    <xf numFmtId="164" fontId="0" fillId="0" borderId="0" xfId="0" applyNumberFormat="1"/>
    <xf numFmtId="164" fontId="0" fillId="5" borderId="10" xfId="1" applyNumberFormat="1" applyFont="1" applyFill="1" applyBorder="1"/>
    <xf numFmtId="164" fontId="0" fillId="5" borderId="12" xfId="1" applyNumberFormat="1" applyFont="1" applyFill="1" applyBorder="1"/>
    <xf numFmtId="1" fontId="6" fillId="3" borderId="28" xfId="0" applyNumberFormat="1" applyFont="1" applyFill="1" applyBorder="1" applyAlignment="1">
      <alignment horizontal="center" vertical="center" wrapText="1"/>
    </xf>
    <xf numFmtId="0" fontId="9" fillId="5" borderId="18" xfId="0" applyFont="1" applyFill="1" applyBorder="1"/>
    <xf numFmtId="0" fontId="9" fillId="5" borderId="19" xfId="0" applyFont="1" applyFill="1" applyBorder="1"/>
    <xf numFmtId="0" fontId="9" fillId="5" borderId="20" xfId="0" applyFont="1" applyFill="1" applyBorder="1"/>
    <xf numFmtId="164" fontId="0" fillId="5" borderId="30" xfId="1" applyNumberFormat="1" applyFont="1" applyFill="1" applyBorder="1"/>
    <xf numFmtId="164" fontId="0" fillId="5" borderId="19" xfId="1" applyNumberFormat="1" applyFont="1" applyFill="1" applyBorder="1"/>
    <xf numFmtId="164" fontId="0" fillId="5" borderId="20" xfId="1" applyNumberFormat="1" applyFont="1" applyFill="1" applyBorder="1"/>
    <xf numFmtId="1" fontId="6" fillId="3" borderId="31" xfId="0" applyNumberFormat="1" applyFont="1" applyFill="1" applyBorder="1" applyAlignment="1">
      <alignment horizontal="center" vertical="center" wrapText="1"/>
    </xf>
    <xf numFmtId="1" fontId="6" fillId="3" borderId="32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6" borderId="12" xfId="0" applyFill="1" applyBorder="1"/>
    <xf numFmtId="164" fontId="0" fillId="6" borderId="13" xfId="1" applyNumberFormat="1" applyFont="1" applyFill="1" applyBorder="1"/>
    <xf numFmtId="164" fontId="0" fillId="6" borderId="14" xfId="1" applyNumberFormat="1" applyFont="1" applyFill="1" applyBorder="1"/>
    <xf numFmtId="0" fontId="0" fillId="7" borderId="10" xfId="0" applyFill="1" applyBorder="1"/>
    <xf numFmtId="164" fontId="0" fillId="7" borderId="1" xfId="1" applyNumberFormat="1" applyFont="1" applyFill="1" applyBorder="1"/>
    <xf numFmtId="164" fontId="0" fillId="7" borderId="11" xfId="1" applyNumberFormat="1" applyFont="1" applyFill="1" applyBorder="1"/>
    <xf numFmtId="0" fontId="0" fillId="8" borderId="10" xfId="0" applyFill="1" applyBorder="1"/>
    <xf numFmtId="164" fontId="0" fillId="8" borderId="1" xfId="1" applyNumberFormat="1" applyFont="1" applyFill="1" applyBorder="1"/>
    <xf numFmtId="164" fontId="0" fillId="8" borderId="11" xfId="1" applyNumberFormat="1" applyFont="1" applyFill="1" applyBorder="1"/>
    <xf numFmtId="0" fontId="8" fillId="8" borderId="1" xfId="0" applyFont="1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8" fillId="7" borderId="1" xfId="0" applyFon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164" fontId="0" fillId="5" borderId="21" xfId="0" applyNumberFormat="1" applyFill="1" applyBorder="1" applyAlignment="1">
      <alignment horizontal="center"/>
    </xf>
    <xf numFmtId="164" fontId="0" fillId="5" borderId="27" xfId="0" applyNumberFormat="1" applyFill="1" applyBorder="1" applyAlignment="1">
      <alignment horizontal="center"/>
    </xf>
    <xf numFmtId="164" fontId="0" fillId="5" borderId="23" xfId="0" applyNumberFormat="1" applyFill="1" applyBorder="1" applyAlignment="1">
      <alignment horizontal="center"/>
    </xf>
    <xf numFmtId="164" fontId="0" fillId="5" borderId="29" xfId="0" applyNumberForma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1" fontId="0" fillId="0" borderId="0" xfId="0" applyNumberFormat="1"/>
    <xf numFmtId="0" fontId="10" fillId="8" borderId="34" xfId="0" applyFont="1" applyFill="1" applyBorder="1"/>
    <xf numFmtId="0" fontId="11" fillId="8" borderId="35" xfId="0" applyFont="1" applyFill="1" applyBorder="1"/>
    <xf numFmtId="0" fontId="0" fillId="8" borderId="35" xfId="0" applyFill="1" applyBorder="1"/>
    <xf numFmtId="0" fontId="0" fillId="8" borderId="36" xfId="0" applyFill="1" applyBorder="1"/>
    <xf numFmtId="0" fontId="0" fillId="8" borderId="21" xfId="0" applyFill="1" applyBorder="1"/>
    <xf numFmtId="0" fontId="0" fillId="8" borderId="23" xfId="0" applyFill="1" applyBorder="1"/>
    <xf numFmtId="0" fontId="10" fillId="11" borderId="34" xfId="0" applyFont="1" applyFill="1" applyBorder="1"/>
    <xf numFmtId="0" fontId="11" fillId="11" borderId="35" xfId="0" applyFont="1" applyFill="1" applyBorder="1"/>
    <xf numFmtId="0" fontId="0" fillId="11" borderId="35" xfId="0" applyFill="1" applyBorder="1"/>
    <xf numFmtId="0" fontId="0" fillId="11" borderId="36" xfId="0" applyFill="1" applyBorder="1"/>
    <xf numFmtId="0" fontId="0" fillId="11" borderId="21" xfId="0" applyFill="1" applyBorder="1"/>
    <xf numFmtId="0" fontId="0" fillId="11" borderId="23" xfId="0" applyFill="1" applyBorder="1"/>
    <xf numFmtId="0" fontId="10" fillId="8" borderId="25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10" fillId="11" borderId="25" xfId="0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0" fontId="10" fillId="11" borderId="26" xfId="0" applyFont="1" applyFill="1" applyBorder="1" applyAlignment="1">
      <alignment horizontal="center"/>
    </xf>
    <xf numFmtId="0" fontId="0" fillId="9" borderId="35" xfId="0" applyFill="1" applyBorder="1"/>
    <xf numFmtId="0" fontId="0" fillId="9" borderId="0" xfId="0" applyFill="1" applyBorder="1"/>
    <xf numFmtId="0" fontId="0" fillId="12" borderId="21" xfId="0" applyFill="1" applyBorder="1"/>
    <xf numFmtId="1" fontId="0" fillId="12" borderId="0" xfId="0" applyNumberFormat="1" applyFill="1" applyBorder="1"/>
    <xf numFmtId="0" fontId="0" fillId="12" borderId="0" xfId="0" applyFill="1" applyBorder="1"/>
    <xf numFmtId="0" fontId="0" fillId="13" borderId="0" xfId="0" applyFill="1" applyBorder="1"/>
    <xf numFmtId="1" fontId="0" fillId="13" borderId="0" xfId="0" applyNumberFormat="1" applyFill="1" applyBorder="1"/>
    <xf numFmtId="0" fontId="0" fillId="13" borderId="27" xfId="0" applyFill="1" applyBorder="1"/>
    <xf numFmtId="0" fontId="0" fillId="9" borderId="37" xfId="0" applyFill="1" applyBorder="1"/>
    <xf numFmtId="9" fontId="0" fillId="10" borderId="33" xfId="0" applyNumberFormat="1" applyFill="1" applyBorder="1"/>
    <xf numFmtId="166" fontId="0" fillId="10" borderId="39" xfId="2" applyNumberFormat="1" applyFont="1" applyFill="1" applyBorder="1"/>
    <xf numFmtId="166" fontId="0" fillId="10" borderId="40" xfId="2" applyNumberFormat="1" applyFont="1" applyFill="1" applyBorder="1"/>
    <xf numFmtId="166" fontId="0" fillId="10" borderId="33" xfId="2" applyNumberFormat="1" applyFont="1" applyFill="1" applyBorder="1"/>
    <xf numFmtId="166" fontId="0" fillId="11" borderId="39" xfId="2" applyNumberFormat="1" applyFont="1" applyFill="1" applyBorder="1"/>
    <xf numFmtId="166" fontId="0" fillId="11" borderId="40" xfId="2" applyNumberFormat="1" applyFont="1" applyFill="1" applyBorder="1"/>
    <xf numFmtId="0" fontId="11" fillId="11" borderId="25" xfId="0" applyFont="1" applyFill="1" applyBorder="1" applyAlignment="1">
      <alignment horizontal="center"/>
    </xf>
    <xf numFmtId="166" fontId="0" fillId="11" borderId="21" xfId="2" applyNumberFormat="1" applyFont="1" applyFill="1" applyBorder="1"/>
    <xf numFmtId="166" fontId="0" fillId="11" borderId="23" xfId="2" applyNumberFormat="1" applyFont="1" applyFill="1" applyBorder="1"/>
    <xf numFmtId="0" fontId="11" fillId="11" borderId="33" xfId="0" applyFont="1" applyFill="1" applyBorder="1" applyAlignment="1">
      <alignment horizontal="center"/>
    </xf>
    <xf numFmtId="166" fontId="0" fillId="8" borderId="21" xfId="2" applyNumberFormat="1" applyFont="1" applyFill="1" applyBorder="1"/>
    <xf numFmtId="166" fontId="0" fillId="8" borderId="23" xfId="2" applyNumberFormat="1" applyFont="1" applyFill="1" applyBorder="1"/>
    <xf numFmtId="166" fontId="0" fillId="8" borderId="39" xfId="2" applyNumberFormat="1" applyFont="1" applyFill="1" applyBorder="1"/>
    <xf numFmtId="166" fontId="0" fillId="8" borderId="40" xfId="2" applyNumberFormat="1" applyFont="1" applyFill="1" applyBorder="1"/>
    <xf numFmtId="0" fontId="11" fillId="8" borderId="25" xfId="0" applyFont="1" applyFill="1" applyBorder="1" applyAlignment="1">
      <alignment horizontal="center"/>
    </xf>
    <xf numFmtId="0" fontId="11" fillId="8" borderId="33" xfId="0" applyFont="1" applyFill="1" applyBorder="1" applyAlignment="1">
      <alignment horizontal="center"/>
    </xf>
    <xf numFmtId="0" fontId="0" fillId="12" borderId="27" xfId="0" applyFill="1" applyBorder="1"/>
    <xf numFmtId="164" fontId="0" fillId="0" borderId="0" xfId="1" applyNumberFormat="1" applyFont="1"/>
    <xf numFmtId="0" fontId="0" fillId="5" borderId="0" xfId="0" applyFill="1" applyAlignment="1">
      <alignment horizontal="center"/>
    </xf>
    <xf numFmtId="1" fontId="0" fillId="5" borderId="0" xfId="0" applyNumberFormat="1" applyFill="1"/>
    <xf numFmtId="164" fontId="0" fillId="5" borderId="0" xfId="1" applyNumberFormat="1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1F3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[1]PIT_Counts_Chart!$A$2</c:f>
          <c:strCache>
            <c:ptCount val="1"/>
            <c:pt idx="0">
              <c:v>North Carolina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967577582213988E-2"/>
          <c:y val="0.12878468701206064"/>
          <c:w val="0.95847780056904652"/>
          <c:h val="0.63484945460152709"/>
        </c:manualLayout>
      </c:layout>
      <c:lineChart>
        <c:grouping val="standard"/>
        <c:varyColors val="0"/>
        <c:ser>
          <c:idx val="0"/>
          <c:order val="0"/>
          <c:tx>
            <c:strRef>
              <c:f>[1]PIT_Counts_Chart!$A$3</c:f>
              <c:strCache>
                <c:ptCount val="1"/>
                <c:pt idx="0">
                  <c:v>Overall Homeless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[1]PIT_Counts_Chart!$B$2:$S$2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[1]PIT_Counts_Chart!$B$3:$S$3</c:f>
              <c:numCache>
                <c:formatCode>General</c:formatCode>
                <c:ptCount val="18"/>
                <c:pt idx="0">
                  <c:v>11802</c:v>
                </c:pt>
                <c:pt idx="1">
                  <c:v>12411</c:v>
                </c:pt>
                <c:pt idx="2">
                  <c:v>12918</c:v>
                </c:pt>
                <c:pt idx="3">
                  <c:v>12191</c:v>
                </c:pt>
                <c:pt idx="4">
                  <c:v>12896</c:v>
                </c:pt>
                <c:pt idx="5">
                  <c:v>13524</c:v>
                </c:pt>
                <c:pt idx="6">
                  <c:v>12168</c:v>
                </c:pt>
                <c:pt idx="7">
                  <c:v>11491</c:v>
                </c:pt>
                <c:pt idx="8">
                  <c:v>10685</c:v>
                </c:pt>
                <c:pt idx="9">
                  <c:v>9559</c:v>
                </c:pt>
                <c:pt idx="10">
                  <c:v>8962</c:v>
                </c:pt>
                <c:pt idx="11">
                  <c:v>9268</c:v>
                </c:pt>
                <c:pt idx="12">
                  <c:v>9314</c:v>
                </c:pt>
                <c:pt idx="13">
                  <c:v>9280</c:v>
                </c:pt>
                <c:pt idx="14">
                  <c:v>7249</c:v>
                </c:pt>
                <c:pt idx="15">
                  <c:v>9382</c:v>
                </c:pt>
                <c:pt idx="16">
                  <c:v>9754</c:v>
                </c:pt>
                <c:pt idx="17">
                  <c:v>11626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A-4C24-A661-C4ED87A767B5}"/>
            </c:ext>
          </c:extLst>
        </c:ser>
        <c:ser>
          <c:idx val="1"/>
          <c:order val="1"/>
          <c:tx>
            <c:strRef>
              <c:f>[1]PIT_Counts_Chart!$A$4</c:f>
              <c:strCache>
                <c:ptCount val="1"/>
                <c:pt idx="0">
                  <c:v>Sheltered Total Homeless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[1]PIT_Counts_Chart!$B$2:$S$2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[1]PIT_Counts_Chart!$B$4:$S$4</c:f>
              <c:numCache>
                <c:formatCode>General</c:formatCode>
                <c:ptCount val="18"/>
                <c:pt idx="0">
                  <c:v>7879</c:v>
                </c:pt>
                <c:pt idx="1">
                  <c:v>8025</c:v>
                </c:pt>
                <c:pt idx="2">
                  <c:v>8473</c:v>
                </c:pt>
                <c:pt idx="3">
                  <c:v>9173</c:v>
                </c:pt>
                <c:pt idx="4">
                  <c:v>9245</c:v>
                </c:pt>
                <c:pt idx="5">
                  <c:v>8809</c:v>
                </c:pt>
                <c:pt idx="6">
                  <c:v>9013</c:v>
                </c:pt>
                <c:pt idx="7">
                  <c:v>8874</c:v>
                </c:pt>
                <c:pt idx="8">
                  <c:v>8260</c:v>
                </c:pt>
                <c:pt idx="9">
                  <c:v>7250</c:v>
                </c:pt>
                <c:pt idx="10">
                  <c:v>6511</c:v>
                </c:pt>
                <c:pt idx="11">
                  <c:v>6818</c:v>
                </c:pt>
                <c:pt idx="12">
                  <c:v>7046</c:v>
                </c:pt>
                <c:pt idx="13">
                  <c:v>6722</c:v>
                </c:pt>
                <c:pt idx="14">
                  <c:v>5612</c:v>
                </c:pt>
                <c:pt idx="15">
                  <c:v>5757</c:v>
                </c:pt>
                <c:pt idx="16">
                  <c:v>6311</c:v>
                </c:pt>
                <c:pt idx="17">
                  <c:v>7103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A-4C24-A661-C4ED87A767B5}"/>
            </c:ext>
          </c:extLst>
        </c:ser>
        <c:ser>
          <c:idx val="2"/>
          <c:order val="2"/>
          <c:tx>
            <c:strRef>
              <c:f>[1]PIT_Counts_Chart!$A$5</c:f>
              <c:strCache>
                <c:ptCount val="1"/>
                <c:pt idx="0">
                  <c:v>Unsheltered Homeless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[1]PIT_Counts_Chart!$B$2:$S$2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[1]PIT_Counts_Chart!$B$5:$S$5</c:f>
              <c:numCache>
                <c:formatCode>General</c:formatCode>
                <c:ptCount val="18"/>
                <c:pt idx="0">
                  <c:v>3923</c:v>
                </c:pt>
                <c:pt idx="1">
                  <c:v>4386</c:v>
                </c:pt>
                <c:pt idx="2">
                  <c:v>4445</c:v>
                </c:pt>
                <c:pt idx="3">
                  <c:v>3018</c:v>
                </c:pt>
                <c:pt idx="4">
                  <c:v>3651</c:v>
                </c:pt>
                <c:pt idx="5">
                  <c:v>4715</c:v>
                </c:pt>
                <c:pt idx="6">
                  <c:v>3155</c:v>
                </c:pt>
                <c:pt idx="7">
                  <c:v>2617</c:v>
                </c:pt>
                <c:pt idx="8">
                  <c:v>2425</c:v>
                </c:pt>
                <c:pt idx="9">
                  <c:v>2309</c:v>
                </c:pt>
                <c:pt idx="10">
                  <c:v>2451</c:v>
                </c:pt>
                <c:pt idx="11">
                  <c:v>2450</c:v>
                </c:pt>
                <c:pt idx="12">
                  <c:v>2268</c:v>
                </c:pt>
                <c:pt idx="13">
                  <c:v>2558</c:v>
                </c:pt>
                <c:pt idx="14">
                  <c:v>1637</c:v>
                </c:pt>
                <c:pt idx="15">
                  <c:v>3625</c:v>
                </c:pt>
                <c:pt idx="16">
                  <c:v>3443</c:v>
                </c:pt>
                <c:pt idx="17">
                  <c:v>4523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2A-4C24-A661-C4ED87A76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812527"/>
        <c:axId val="1343813007"/>
      </c:lineChart>
      <c:catAx>
        <c:axId val="134381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13007"/>
        <c:crosses val="autoZero"/>
        <c:auto val="1"/>
        <c:lblAlgn val="ctr"/>
        <c:lblOffset val="100"/>
        <c:noMultiLvlLbl val="0"/>
      </c:catAx>
      <c:valAx>
        <c:axId val="134381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1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482713557864092E-2"/>
          <c:y val="0.84765588154640159"/>
          <c:w val="0.85503449017402233"/>
          <c:h val="5.8594144085153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[2]PIT_Counts_Chart!$A$2</c:f>
          <c:strCache>
            <c:ptCount val="1"/>
            <c:pt idx="0">
              <c:v>Fayetteville/Cumberland County CoC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967577582213988E-2"/>
          <c:y val="0.12878468701206064"/>
          <c:w val="0.95847780056904652"/>
          <c:h val="0.63484945460152709"/>
        </c:manualLayout>
      </c:layout>
      <c:lineChart>
        <c:grouping val="standard"/>
        <c:varyColors val="0"/>
        <c:ser>
          <c:idx val="0"/>
          <c:order val="0"/>
          <c:tx>
            <c:strRef>
              <c:f>[2]PIT_Counts_Chart!$A$3</c:f>
              <c:strCache>
                <c:ptCount val="1"/>
                <c:pt idx="0">
                  <c:v>Overall Homeless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[2]PIT_Counts_Chart!$B$2:$S$2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[2]PIT_Counts_Chart!$B$3:$S$3</c:f>
              <c:numCache>
                <c:formatCode>General</c:formatCode>
                <c:ptCount val="18"/>
                <c:pt idx="0">
                  <c:v>757</c:v>
                </c:pt>
                <c:pt idx="1">
                  <c:v>1074</c:v>
                </c:pt>
                <c:pt idx="2">
                  <c:v>965</c:v>
                </c:pt>
                <c:pt idx="3">
                  <c:v>1033</c:v>
                </c:pt>
                <c:pt idx="4">
                  <c:v>1061</c:v>
                </c:pt>
                <c:pt idx="5">
                  <c:v>1606</c:v>
                </c:pt>
                <c:pt idx="6">
                  <c:v>631</c:v>
                </c:pt>
                <c:pt idx="7">
                  <c:v>653</c:v>
                </c:pt>
                <c:pt idx="8">
                  <c:v>593</c:v>
                </c:pt>
                <c:pt idx="9">
                  <c:v>515</c:v>
                </c:pt>
                <c:pt idx="10">
                  <c:v>442</c:v>
                </c:pt>
                <c:pt idx="11">
                  <c:v>372</c:v>
                </c:pt>
                <c:pt idx="12">
                  <c:v>329</c:v>
                </c:pt>
                <c:pt idx="13">
                  <c:v>297</c:v>
                </c:pt>
                <c:pt idx="14">
                  <c:v>54</c:v>
                </c:pt>
                <c:pt idx="15">
                  <c:v>475</c:v>
                </c:pt>
                <c:pt idx="16">
                  <c:v>474</c:v>
                </c:pt>
                <c:pt idx="17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E-4152-9033-E4D4F26AFFA7}"/>
            </c:ext>
          </c:extLst>
        </c:ser>
        <c:ser>
          <c:idx val="1"/>
          <c:order val="1"/>
          <c:tx>
            <c:strRef>
              <c:f>[2]PIT_Counts_Chart!$A$4</c:f>
              <c:strCache>
                <c:ptCount val="1"/>
                <c:pt idx="0">
                  <c:v>Sheltered Total Homeless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[2]PIT_Counts_Chart!$B$2:$S$2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[2]PIT_Counts_Chart!$B$4:$S$4</c:f>
              <c:numCache>
                <c:formatCode>General</c:formatCode>
                <c:ptCount val="18"/>
                <c:pt idx="0">
                  <c:v>313</c:v>
                </c:pt>
                <c:pt idx="1">
                  <c:v>266</c:v>
                </c:pt>
                <c:pt idx="2">
                  <c:v>263</c:v>
                </c:pt>
                <c:pt idx="3">
                  <c:v>294</c:v>
                </c:pt>
                <c:pt idx="4">
                  <c:v>285</c:v>
                </c:pt>
                <c:pt idx="5">
                  <c:v>306</c:v>
                </c:pt>
                <c:pt idx="6">
                  <c:v>287</c:v>
                </c:pt>
                <c:pt idx="7">
                  <c:v>268</c:v>
                </c:pt>
                <c:pt idx="8">
                  <c:v>227</c:v>
                </c:pt>
                <c:pt idx="9">
                  <c:v>224</c:v>
                </c:pt>
                <c:pt idx="10">
                  <c:v>189</c:v>
                </c:pt>
                <c:pt idx="11">
                  <c:v>147</c:v>
                </c:pt>
                <c:pt idx="12">
                  <c:v>103</c:v>
                </c:pt>
                <c:pt idx="13">
                  <c:v>132</c:v>
                </c:pt>
                <c:pt idx="14">
                  <c:v>54</c:v>
                </c:pt>
                <c:pt idx="15">
                  <c:v>83</c:v>
                </c:pt>
                <c:pt idx="16">
                  <c:v>86</c:v>
                </c:pt>
                <c:pt idx="17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E-4152-9033-E4D4F26AFFA7}"/>
            </c:ext>
          </c:extLst>
        </c:ser>
        <c:ser>
          <c:idx val="2"/>
          <c:order val="2"/>
          <c:tx>
            <c:strRef>
              <c:f>[2]PIT_Counts_Chart!$A$5</c:f>
              <c:strCache>
                <c:ptCount val="1"/>
                <c:pt idx="0">
                  <c:v>Unsheltered Homeless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[2]PIT_Counts_Chart!$B$2:$S$2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[2]PIT_Counts_Chart!$B$5:$S$5</c:f>
              <c:numCache>
                <c:formatCode>General</c:formatCode>
                <c:ptCount val="18"/>
                <c:pt idx="0">
                  <c:v>444</c:v>
                </c:pt>
                <c:pt idx="1">
                  <c:v>808</c:v>
                </c:pt>
                <c:pt idx="2">
                  <c:v>702</c:v>
                </c:pt>
                <c:pt idx="3">
                  <c:v>739</c:v>
                </c:pt>
                <c:pt idx="4">
                  <c:v>776</c:v>
                </c:pt>
                <c:pt idx="5">
                  <c:v>1300</c:v>
                </c:pt>
                <c:pt idx="6">
                  <c:v>344</c:v>
                </c:pt>
                <c:pt idx="7">
                  <c:v>385</c:v>
                </c:pt>
                <c:pt idx="8">
                  <c:v>366</c:v>
                </c:pt>
                <c:pt idx="9">
                  <c:v>291</c:v>
                </c:pt>
                <c:pt idx="10">
                  <c:v>253</c:v>
                </c:pt>
                <c:pt idx="11">
                  <c:v>225</c:v>
                </c:pt>
                <c:pt idx="12">
                  <c:v>226</c:v>
                </c:pt>
                <c:pt idx="13">
                  <c:v>165</c:v>
                </c:pt>
                <c:pt idx="14">
                  <c:v>0</c:v>
                </c:pt>
                <c:pt idx="15">
                  <c:v>392</c:v>
                </c:pt>
                <c:pt idx="16">
                  <c:v>388</c:v>
                </c:pt>
                <c:pt idx="17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CE-4152-9033-E4D4F26AF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812527"/>
        <c:axId val="1343813007"/>
      </c:lineChart>
      <c:catAx>
        <c:axId val="134381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13007"/>
        <c:crosses val="autoZero"/>
        <c:auto val="1"/>
        <c:lblAlgn val="ctr"/>
        <c:lblOffset val="100"/>
        <c:noMultiLvlLbl val="0"/>
      </c:catAx>
      <c:valAx>
        <c:axId val="134381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1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482713557864092E-2"/>
          <c:y val="0.84765588154640159"/>
          <c:w val="0.85503449017402233"/>
          <c:h val="5.8594144085153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1312334</xdr:colOff>
      <xdr:row>8</xdr:row>
      <xdr:rowOff>175382</xdr:rowOff>
    </xdr:from>
    <xdr:to>
      <xdr:col>18</xdr:col>
      <xdr:colOff>648306</xdr:colOff>
      <xdr:row>27</xdr:row>
      <xdr:rowOff>133049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0D7D62-E806-42B7-93A7-651DBC88E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0.03221</cdr:x>
      <cdr:y>0.90972</cdr:y>
    </cdr:from>
    <cdr:to>
      <cdr:x>0.69048</cdr:x>
      <cdr:y>0.99537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F5B12A-D5EC-02AB-33E8-F2FAC4BABEF9}"/>
            </a:ext>
          </a:extLst>
        </cdr:cNvPr>
        <cdr:cNvSpPr txBox="1"/>
      </cdr:nvSpPr>
      <cdr:spPr>
        <a:xfrm xmlns:a="http://schemas.openxmlformats.org/drawingml/2006/main">
          <a:off x="389431" y="3327393"/>
          <a:ext cx="7958701" cy="3132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Source: U.S.</a:t>
          </a:r>
          <a:r>
            <a:rPr lang="en-US" sz="1100" baseline="0"/>
            <a:t> Department of </a:t>
          </a:r>
          <a:r>
            <a:rPr lang="en-US" sz="1100"/>
            <a:t>Housing and Urban Development, PIT Data, 2007-2024.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2082347</xdr:colOff>
      <xdr:row>8</xdr:row>
      <xdr:rowOff>150435</xdr:rowOff>
    </xdr:from>
    <xdr:to>
      <xdr:col>19</xdr:col>
      <xdr:colOff>15422</xdr:colOff>
      <xdr:row>27</xdr:row>
      <xdr:rowOff>113545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18EFB-54FC-4FC6-8C33-56DE5CA6A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0.03221</cdr:x>
      <cdr:y>0.90972</cdr:y>
    </cdr:from>
    <cdr:to>
      <cdr:x>0.69048</cdr:x>
      <cdr:y>0.99537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F5B12A-D5EC-02AB-33E8-F2FAC4BABEF9}"/>
            </a:ext>
          </a:extLst>
        </cdr:cNvPr>
        <cdr:cNvSpPr txBox="1"/>
      </cdr:nvSpPr>
      <cdr:spPr>
        <a:xfrm xmlns:a="http://schemas.openxmlformats.org/drawingml/2006/main">
          <a:off x="389431" y="3327393"/>
          <a:ext cx="7958701" cy="3132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Source: U.S.</a:t>
          </a:r>
          <a:r>
            <a:rPr lang="en-US" sz="1100" baseline="0"/>
            <a:t> Department of </a:t>
          </a:r>
          <a:r>
            <a:rPr lang="en-US" sz="1100"/>
            <a:t>Housing and Urban Development, PIT Data, 2007-2024.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126546</xdr:rowOff>
    </xdr:to>
    <xdr:sp macro="" textlink="">
      <xdr:nvSpPr>
        <xdr:cNvPr id="3075" name="AutoShape 3" descr="Cumberland forecast chart">
          <a:extLst>
            <a:ext uri="{FF2B5EF4-FFF2-40B4-BE49-F238E27FC236}">
              <a16:creationId xmlns:a16="http://schemas.microsoft.com/office/drawing/2014/main" id="{56F5B52E-9A9C-AC39-5D5A-43929CEC92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aed\Downloads\2007-2024-PIT-Counts-by-State%20-%20NC.xlsb" TargetMode="External"/><Relationship Id="rId1" Type="http://schemas.openxmlformats.org/officeDocument/2006/relationships/externalLinkPath" Target="2007-2024-PIT-Counts-by-State%20-%20NC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aed\Downloads\2007-2024-PIT-Counts-by-Cumberland_County-%20NC.xlsb" TargetMode="External"/><Relationship Id="rId1" Type="http://schemas.openxmlformats.org/officeDocument/2006/relationships/externalLinkPath" Target="2007-2024-PIT-Counts-by-Cumberland_County-%20NC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3"/>
      <sheetName val="2022"/>
      <sheetName val="2021"/>
      <sheetName val="2020"/>
      <sheetName val="2019"/>
      <sheetName val="2018"/>
      <sheetName val="2017"/>
      <sheetName val="2016"/>
      <sheetName val="2015"/>
      <sheetName val="2014"/>
      <sheetName val="2013"/>
      <sheetName val="2012"/>
      <sheetName val="2011"/>
      <sheetName val="2010"/>
      <sheetName val="2009"/>
      <sheetName val="2008"/>
      <sheetName val="2007"/>
      <sheetName val="CoCs, States, DDs"/>
      <sheetName val="field list, all years"/>
      <sheetName val="Table_categories"/>
      <sheetName val="Generate_Table"/>
      <sheetName val="PIT_Counts_Table_Template"/>
      <sheetName val="PIT_Counts_Table"/>
      <sheetName val="Generate_Chart"/>
      <sheetName val="Chart_categories"/>
      <sheetName val="PIT_Counts_Chart"/>
      <sheetName val="Sheet3"/>
      <sheetName val="PIT_Counts_Chart_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North Carolina</v>
          </cell>
          <cell r="B2">
            <v>2007</v>
          </cell>
          <cell r="C2">
            <v>2008</v>
          </cell>
          <cell r="D2">
            <v>2009</v>
          </cell>
          <cell r="E2">
            <v>2010</v>
          </cell>
          <cell r="F2">
            <v>2011</v>
          </cell>
          <cell r="G2">
            <v>2012</v>
          </cell>
          <cell r="H2">
            <v>2013</v>
          </cell>
          <cell r="I2">
            <v>2014</v>
          </cell>
          <cell r="J2">
            <v>2015</v>
          </cell>
          <cell r="K2">
            <v>2016</v>
          </cell>
          <cell r="L2">
            <v>2017</v>
          </cell>
          <cell r="M2">
            <v>2018</v>
          </cell>
          <cell r="N2">
            <v>2019</v>
          </cell>
          <cell r="O2">
            <v>2020</v>
          </cell>
          <cell r="P2">
            <v>2021</v>
          </cell>
          <cell r="Q2">
            <v>2022</v>
          </cell>
          <cell r="R2">
            <v>2023</v>
          </cell>
          <cell r="S2">
            <v>2024</v>
          </cell>
        </row>
        <row r="3">
          <cell r="A3" t="str">
            <v>Overall Homeless</v>
          </cell>
          <cell r="B3">
            <v>11802</v>
          </cell>
          <cell r="C3">
            <v>12411</v>
          </cell>
          <cell r="D3">
            <v>12918</v>
          </cell>
          <cell r="E3">
            <v>12191</v>
          </cell>
          <cell r="F3">
            <v>12896</v>
          </cell>
          <cell r="G3">
            <v>13524</v>
          </cell>
          <cell r="H3">
            <v>12168</v>
          </cell>
          <cell r="I3">
            <v>11491</v>
          </cell>
          <cell r="J3">
            <v>10685</v>
          </cell>
          <cell r="K3">
            <v>9559</v>
          </cell>
          <cell r="L3">
            <v>8962</v>
          </cell>
          <cell r="M3">
            <v>9268</v>
          </cell>
          <cell r="N3">
            <v>9314</v>
          </cell>
          <cell r="O3">
            <v>9280</v>
          </cell>
          <cell r="P3">
            <v>7249</v>
          </cell>
          <cell r="Q3">
            <v>9382</v>
          </cell>
          <cell r="R3">
            <v>9754</v>
          </cell>
          <cell r="S3">
            <v>11626</v>
          </cell>
        </row>
        <row r="4">
          <cell r="A4" t="str">
            <v>Sheltered Total Homeless</v>
          </cell>
          <cell r="B4">
            <v>7879</v>
          </cell>
          <cell r="C4">
            <v>8025</v>
          </cell>
          <cell r="D4">
            <v>8473</v>
          </cell>
          <cell r="E4">
            <v>9173</v>
          </cell>
          <cell r="F4">
            <v>9245</v>
          </cell>
          <cell r="G4">
            <v>8809</v>
          </cell>
          <cell r="H4">
            <v>9013</v>
          </cell>
          <cell r="I4">
            <v>8874</v>
          </cell>
          <cell r="J4">
            <v>8260</v>
          </cell>
          <cell r="K4">
            <v>7250</v>
          </cell>
          <cell r="L4">
            <v>6511</v>
          </cell>
          <cell r="M4">
            <v>6818</v>
          </cell>
          <cell r="N4">
            <v>7046</v>
          </cell>
          <cell r="O4">
            <v>6722</v>
          </cell>
          <cell r="P4">
            <v>5612</v>
          </cell>
          <cell r="Q4">
            <v>5757</v>
          </cell>
          <cell r="R4">
            <v>6311</v>
          </cell>
          <cell r="S4">
            <v>7103</v>
          </cell>
        </row>
        <row r="5">
          <cell r="A5" t="str">
            <v>Unsheltered Homeless</v>
          </cell>
          <cell r="B5">
            <v>3923</v>
          </cell>
          <cell r="C5">
            <v>4386</v>
          </cell>
          <cell r="D5">
            <v>4445</v>
          </cell>
          <cell r="E5">
            <v>3018</v>
          </cell>
          <cell r="F5">
            <v>3651</v>
          </cell>
          <cell r="G5">
            <v>4715</v>
          </cell>
          <cell r="H5">
            <v>3155</v>
          </cell>
          <cell r="I5">
            <v>2617</v>
          </cell>
          <cell r="J5">
            <v>2425</v>
          </cell>
          <cell r="K5">
            <v>2309</v>
          </cell>
          <cell r="L5">
            <v>2451</v>
          </cell>
          <cell r="M5">
            <v>2450</v>
          </cell>
          <cell r="N5">
            <v>2268</v>
          </cell>
          <cell r="O5">
            <v>2558</v>
          </cell>
          <cell r="P5">
            <v>1637</v>
          </cell>
          <cell r="Q5">
            <v>3625</v>
          </cell>
          <cell r="R5">
            <v>3443</v>
          </cell>
          <cell r="S5">
            <v>4523</v>
          </cell>
        </row>
        <row r="6">
          <cell r="A6"/>
          <cell r="B6" t="str">
            <v/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</row>
        <row r="7">
          <cell r="A7"/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</row>
        <row r="8">
          <cell r="A8"/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</row>
      </sheetData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3"/>
      <sheetName val="2022"/>
      <sheetName val="2021"/>
      <sheetName val="2020"/>
      <sheetName val="2019"/>
      <sheetName val="2018"/>
      <sheetName val="2017"/>
      <sheetName val="2016"/>
      <sheetName val="2015"/>
      <sheetName val="2014"/>
      <sheetName val="2013"/>
      <sheetName val="2012"/>
      <sheetName val="2011"/>
      <sheetName val="2010"/>
      <sheetName val="2009"/>
      <sheetName val="2008"/>
      <sheetName val="2007"/>
      <sheetName val="CoC Mergers"/>
      <sheetName val="CoCs, States, DDs"/>
      <sheetName val="field list, all years"/>
      <sheetName val="Table_categories"/>
      <sheetName val="Generate_Table"/>
      <sheetName val="PIT_Counts_Table_Template"/>
      <sheetName val="PIT_Counts_Table"/>
      <sheetName val="Generate_Chart"/>
      <sheetName val="Chart_categories"/>
      <sheetName val="PIT_Counts_Chart"/>
      <sheetName val="PIT_Counts_Chart_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A2" t="str">
            <v>Fayetteville/Cumberland County CoC</v>
          </cell>
          <cell r="B2">
            <v>2007</v>
          </cell>
          <cell r="C2">
            <v>2008</v>
          </cell>
          <cell r="D2">
            <v>2009</v>
          </cell>
          <cell r="E2">
            <v>2010</v>
          </cell>
          <cell r="F2">
            <v>2011</v>
          </cell>
          <cell r="G2">
            <v>2012</v>
          </cell>
          <cell r="H2">
            <v>2013</v>
          </cell>
          <cell r="I2">
            <v>2014</v>
          </cell>
          <cell r="J2">
            <v>2015</v>
          </cell>
          <cell r="K2">
            <v>2016</v>
          </cell>
          <cell r="L2">
            <v>2017</v>
          </cell>
          <cell r="M2">
            <v>2018</v>
          </cell>
          <cell r="N2">
            <v>2019</v>
          </cell>
          <cell r="O2">
            <v>2020</v>
          </cell>
          <cell r="P2">
            <v>2021</v>
          </cell>
          <cell r="Q2">
            <v>2022</v>
          </cell>
          <cell r="R2">
            <v>2023</v>
          </cell>
          <cell r="S2">
            <v>2024</v>
          </cell>
        </row>
        <row r="3">
          <cell r="A3" t="str">
            <v>Overall Homeless</v>
          </cell>
          <cell r="B3">
            <v>757</v>
          </cell>
          <cell r="C3">
            <v>1074</v>
          </cell>
          <cell r="D3">
            <v>965</v>
          </cell>
          <cell r="E3">
            <v>1033</v>
          </cell>
          <cell r="F3">
            <v>1061</v>
          </cell>
          <cell r="G3">
            <v>1606</v>
          </cell>
          <cell r="H3">
            <v>631</v>
          </cell>
          <cell r="I3">
            <v>653</v>
          </cell>
          <cell r="J3">
            <v>593</v>
          </cell>
          <cell r="K3">
            <v>515</v>
          </cell>
          <cell r="L3">
            <v>442</v>
          </cell>
          <cell r="M3">
            <v>372</v>
          </cell>
          <cell r="N3">
            <v>329</v>
          </cell>
          <cell r="O3">
            <v>297</v>
          </cell>
          <cell r="P3">
            <v>54</v>
          </cell>
          <cell r="Q3">
            <v>475</v>
          </cell>
          <cell r="R3">
            <v>474</v>
          </cell>
          <cell r="S3">
            <v>380</v>
          </cell>
        </row>
        <row r="4">
          <cell r="A4" t="str">
            <v>Sheltered Total Homeless</v>
          </cell>
          <cell r="B4">
            <v>313</v>
          </cell>
          <cell r="C4">
            <v>266</v>
          </cell>
          <cell r="D4">
            <v>263</v>
          </cell>
          <cell r="E4">
            <v>294</v>
          </cell>
          <cell r="F4">
            <v>285</v>
          </cell>
          <cell r="G4">
            <v>306</v>
          </cell>
          <cell r="H4">
            <v>287</v>
          </cell>
          <cell r="I4">
            <v>268</v>
          </cell>
          <cell r="J4">
            <v>227</v>
          </cell>
          <cell r="K4">
            <v>224</v>
          </cell>
          <cell r="L4">
            <v>189</v>
          </cell>
          <cell r="M4">
            <v>147</v>
          </cell>
          <cell r="N4">
            <v>103</v>
          </cell>
          <cell r="O4">
            <v>132</v>
          </cell>
          <cell r="P4">
            <v>54</v>
          </cell>
          <cell r="Q4">
            <v>83</v>
          </cell>
          <cell r="R4">
            <v>86</v>
          </cell>
          <cell r="S4">
            <v>127</v>
          </cell>
        </row>
        <row r="5">
          <cell r="A5" t="str">
            <v>Unsheltered Homeless</v>
          </cell>
          <cell r="B5">
            <v>444</v>
          </cell>
          <cell r="C5">
            <v>808</v>
          </cell>
          <cell r="D5">
            <v>702</v>
          </cell>
          <cell r="E5">
            <v>739</v>
          </cell>
          <cell r="F5">
            <v>776</v>
          </cell>
          <cell r="G5">
            <v>1300</v>
          </cell>
          <cell r="H5">
            <v>344</v>
          </cell>
          <cell r="I5">
            <v>385</v>
          </cell>
          <cell r="J5">
            <v>366</v>
          </cell>
          <cell r="K5">
            <v>291</v>
          </cell>
          <cell r="L5">
            <v>253</v>
          </cell>
          <cell r="M5">
            <v>225</v>
          </cell>
          <cell r="N5">
            <v>226</v>
          </cell>
          <cell r="O5">
            <v>165</v>
          </cell>
          <cell r="P5">
            <v>0</v>
          </cell>
          <cell r="Q5">
            <v>392</v>
          </cell>
          <cell r="R5">
            <v>388</v>
          </cell>
          <cell r="S5">
            <v>253</v>
          </cell>
        </row>
        <row r="6">
          <cell r="A6"/>
          <cell r="B6" t="str">
            <v/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</row>
        <row r="7">
          <cell r="A7"/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</row>
        <row r="8">
          <cell r="A8"/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</row>
      </sheetData>
      <sheetData sheetId="2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aker, Braeden S" id="{31C98039-2A96-4434-8655-89944034E1F8}" userId="S::bbaker15@broncos.uncfsu.edu::f2e38fcb-c1a2-4444-9721-bc9aa507749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37" dT="2026-04-27T18:39:27.17" personId="{31C98039-2A96-4434-8655-89944034E1F8}" id="{AEF3CEB4-B9ED-49EB-92E4-95B17DC72A87}">
    <text xml:space="preserve">2021 and 2022 were removed to eliminate the extreme volatility in determining a reasonable forecast with the STDEV.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X37" dT="2026-04-27T18:39:15.30" personId="{31C98039-2A96-4434-8655-89944034E1F8}" id="{8754C053-0C82-4004-8A12-53D4589C88D8}">
    <text xml:space="preserve">2021 and 2022 were removed to eliminate the extreme volatility in determining a reasonable forecast with the STDEV.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6B1A-6756-4C96-B399-32565FD2ACD1}">
  <dimension ref="B1:J19"/>
  <sheetViews>
    <sheetView showGridLines="0" tabSelected="1" zoomScale="50" zoomScaleNormal="50" workbookViewId="0">
      <selection activeCell="M10" sqref="M10"/>
    </sheetView>
  </sheetViews>
  <sheetFormatPr defaultRowHeight="14.6" x14ac:dyDescent="0.4"/>
  <cols>
    <col min="1" max="1" width="1.69140625" customWidth="1"/>
    <col min="2" max="2" width="22.4609375" customWidth="1"/>
    <col min="3" max="3" width="10.69140625" bestFit="1" customWidth="1"/>
    <col min="4" max="5" width="15.69140625" customWidth="1"/>
    <col min="6" max="6" width="0.765625" customWidth="1"/>
    <col min="7" max="7" width="18.53515625" bestFit="1" customWidth="1"/>
    <col min="9" max="10" width="15.69140625" customWidth="1"/>
  </cols>
  <sheetData>
    <row r="1" spans="2:10" ht="4.75" customHeight="1" thickBot="1" x14ac:dyDescent="0.45"/>
    <row r="2" spans="2:10" ht="15" thickBot="1" x14ac:dyDescent="0.45">
      <c r="B2" s="80" t="s">
        <v>10</v>
      </c>
      <c r="C2" s="81"/>
      <c r="D2" s="81"/>
      <c r="E2" s="82"/>
      <c r="F2" s="86"/>
      <c r="G2" s="83" t="s">
        <v>11</v>
      </c>
      <c r="H2" s="84"/>
      <c r="I2" s="84"/>
      <c r="J2" s="85"/>
    </row>
    <row r="3" spans="2:10" ht="15" thickBot="1" x14ac:dyDescent="0.45">
      <c r="B3" s="68" t="s">
        <v>17</v>
      </c>
      <c r="C3" s="69" t="s">
        <v>20</v>
      </c>
      <c r="D3" s="70"/>
      <c r="E3" s="71"/>
      <c r="F3" s="87"/>
      <c r="G3" s="74" t="s">
        <v>17</v>
      </c>
      <c r="H3" s="75" t="s">
        <v>20</v>
      </c>
      <c r="I3" s="76"/>
      <c r="J3" s="77"/>
    </row>
    <row r="4" spans="2:10" ht="15" thickBot="1" x14ac:dyDescent="0.45">
      <c r="B4" s="72" t="s">
        <v>16</v>
      </c>
      <c r="C4" s="95">
        <v>0.08</v>
      </c>
      <c r="D4" s="110" t="s">
        <v>18</v>
      </c>
      <c r="E4" s="110" t="s">
        <v>19</v>
      </c>
      <c r="F4" s="87"/>
      <c r="G4" s="78" t="s">
        <v>16</v>
      </c>
      <c r="H4" s="95">
        <v>0.12</v>
      </c>
      <c r="I4" s="101" t="s">
        <v>18</v>
      </c>
      <c r="J4" s="104" t="s">
        <v>19</v>
      </c>
    </row>
    <row r="5" spans="2:10" ht="15" thickBot="1" x14ac:dyDescent="0.45">
      <c r="B5" s="72" t="s">
        <v>12</v>
      </c>
      <c r="C5" s="96">
        <f>NC!T3</f>
        <v>10254</v>
      </c>
      <c r="D5" s="105">
        <f>C5*(1-$C$4)</f>
        <v>9433.68</v>
      </c>
      <c r="E5" s="107">
        <f>C5*(1+$C$4)</f>
        <v>11074.320000000002</v>
      </c>
      <c r="F5" s="87"/>
      <c r="G5" s="78" t="s">
        <v>12</v>
      </c>
      <c r="H5" s="98">
        <f>Cumberland!T3</f>
        <v>443</v>
      </c>
      <c r="I5" s="102">
        <f>H5*(1-$H$4)</f>
        <v>389.84</v>
      </c>
      <c r="J5" s="99">
        <f>H5*(1+$H$4)</f>
        <v>496.16</v>
      </c>
    </row>
    <row r="6" spans="2:10" ht="15" thickBot="1" x14ac:dyDescent="0.45">
      <c r="B6" s="72" t="s">
        <v>13</v>
      </c>
      <c r="C6" s="96">
        <f>NC!U3</f>
        <v>10544.666666666666</v>
      </c>
      <c r="D6" s="105">
        <f t="shared" ref="D6:D7" si="0">C6*(1-$C$4)</f>
        <v>9701.0933333333323</v>
      </c>
      <c r="E6" s="107">
        <f t="shared" ref="E6:E7" si="1">C6*(1+$C$4)</f>
        <v>11388.24</v>
      </c>
      <c r="F6" s="87"/>
      <c r="G6" s="78" t="s">
        <v>13</v>
      </c>
      <c r="H6" s="98">
        <f>Cumberland!U3</f>
        <v>432.33333333333331</v>
      </c>
      <c r="I6" s="102">
        <f t="shared" ref="I6:I7" si="2">H6*(1-$H$4)</f>
        <v>380.45333333333332</v>
      </c>
      <c r="J6" s="99">
        <f t="shared" ref="J6:J7" si="3">H6*(1+$H$4)</f>
        <v>484.21333333333337</v>
      </c>
    </row>
    <row r="7" spans="2:10" ht="15" thickBot="1" x14ac:dyDescent="0.45">
      <c r="B7" s="73" t="s">
        <v>14</v>
      </c>
      <c r="C7" s="97">
        <f>NC!V3</f>
        <v>10808.222222222221</v>
      </c>
      <c r="D7" s="106">
        <f t="shared" si="0"/>
        <v>9943.5644444444442</v>
      </c>
      <c r="E7" s="108">
        <f t="shared" si="1"/>
        <v>11672.88</v>
      </c>
      <c r="F7" s="87"/>
      <c r="G7" s="79" t="s">
        <v>14</v>
      </c>
      <c r="H7" s="98">
        <f>Cumberland!V3</f>
        <v>418.4444444444444</v>
      </c>
      <c r="I7" s="103">
        <f t="shared" si="2"/>
        <v>368.23111111111109</v>
      </c>
      <c r="J7" s="100">
        <f t="shared" si="3"/>
        <v>468.65777777777777</v>
      </c>
    </row>
    <row r="8" spans="2:10" ht="15" thickBot="1" x14ac:dyDescent="0.45">
      <c r="B8" s="88"/>
      <c r="C8" s="89"/>
      <c r="D8" s="90"/>
      <c r="E8" s="111"/>
      <c r="F8" s="87"/>
      <c r="G8" s="91"/>
      <c r="H8" s="92"/>
      <c r="I8" s="91"/>
      <c r="J8" s="93"/>
    </row>
    <row r="9" spans="2:10" ht="15" thickBot="1" x14ac:dyDescent="0.45">
      <c r="B9" s="68" t="s">
        <v>21</v>
      </c>
      <c r="C9" s="70"/>
      <c r="D9" s="70"/>
      <c r="E9" s="71"/>
      <c r="F9" s="87"/>
      <c r="G9" s="74" t="s">
        <v>21</v>
      </c>
      <c r="H9" s="76"/>
      <c r="I9" s="76"/>
      <c r="J9" s="77"/>
    </row>
    <row r="10" spans="2:10" ht="15" thickBot="1" x14ac:dyDescent="0.45">
      <c r="B10" s="72" t="s">
        <v>16</v>
      </c>
      <c r="C10" s="95">
        <v>7.0000000000000007E-2</v>
      </c>
      <c r="D10" s="110" t="s">
        <v>18</v>
      </c>
      <c r="E10" s="110" t="s">
        <v>19</v>
      </c>
      <c r="F10" s="87"/>
      <c r="G10" s="78" t="s">
        <v>16</v>
      </c>
      <c r="H10" s="95">
        <v>0.09</v>
      </c>
      <c r="I10" s="101" t="s">
        <v>18</v>
      </c>
      <c r="J10" s="104" t="s">
        <v>19</v>
      </c>
    </row>
    <row r="11" spans="2:10" x14ac:dyDescent="0.4">
      <c r="B11" s="72" t="s">
        <v>12</v>
      </c>
      <c r="C11" s="96">
        <f>NC!T4</f>
        <v>6390.333333333333</v>
      </c>
      <c r="D11" s="105">
        <f>C11*(1-$C$10)</f>
        <v>5943.0099999999993</v>
      </c>
      <c r="E11" s="107">
        <f>C11*(1+$C$10)</f>
        <v>6837.6566666666668</v>
      </c>
      <c r="F11" s="87"/>
      <c r="G11" s="78" t="s">
        <v>12</v>
      </c>
      <c r="H11" s="96">
        <f>Cumberland!T4</f>
        <v>98.666666666666671</v>
      </c>
      <c r="I11" s="102">
        <f>H11*(1-$H$10)</f>
        <v>89.786666666666676</v>
      </c>
      <c r="J11" s="99">
        <f>H11*(1+$H$10)</f>
        <v>107.54666666666668</v>
      </c>
    </row>
    <row r="12" spans="2:10" x14ac:dyDescent="0.4">
      <c r="B12" s="72" t="s">
        <v>13</v>
      </c>
      <c r="C12" s="96">
        <f>NC!U4</f>
        <v>6601.4444444444443</v>
      </c>
      <c r="D12" s="105">
        <f t="shared" ref="D12:D13" si="4">C12*(1-$C$10)</f>
        <v>6139.3433333333332</v>
      </c>
      <c r="E12" s="107">
        <f t="shared" ref="E12:E13" si="5">C12*(1+$C$10)</f>
        <v>7063.5455555555554</v>
      </c>
      <c r="F12" s="87"/>
      <c r="G12" s="78" t="s">
        <v>13</v>
      </c>
      <c r="H12" s="96">
        <f>Cumberland!U4</f>
        <v>103.8888888888889</v>
      </c>
      <c r="I12" s="102">
        <f t="shared" ref="I12:I13" si="6">H12*(1-$H$10)</f>
        <v>94.538888888888906</v>
      </c>
      <c r="J12" s="99">
        <f t="shared" ref="J12:J13" si="7">H12*(1+$H$10)</f>
        <v>113.23888888888891</v>
      </c>
    </row>
    <row r="13" spans="2:10" ht="15" thickBot="1" x14ac:dyDescent="0.45">
      <c r="B13" s="73" t="s">
        <v>14</v>
      </c>
      <c r="C13" s="97">
        <f>NC!V4</f>
        <v>6698.2592592592591</v>
      </c>
      <c r="D13" s="106">
        <f t="shared" si="4"/>
        <v>6229.3811111111108</v>
      </c>
      <c r="E13" s="108">
        <f t="shared" si="5"/>
        <v>7167.1374074074074</v>
      </c>
      <c r="F13" s="87"/>
      <c r="G13" s="79" t="s">
        <v>14</v>
      </c>
      <c r="H13" s="97">
        <f>Cumberland!V4</f>
        <v>109.85185185185186</v>
      </c>
      <c r="I13" s="103">
        <f t="shared" si="6"/>
        <v>99.965185185185192</v>
      </c>
      <c r="J13" s="100">
        <f t="shared" si="7"/>
        <v>119.73851851851853</v>
      </c>
    </row>
    <row r="14" spans="2:10" ht="15" thickBot="1" x14ac:dyDescent="0.45">
      <c r="B14" s="88"/>
      <c r="C14" s="89"/>
      <c r="D14" s="90"/>
      <c r="E14" s="111"/>
      <c r="F14" s="87"/>
      <c r="G14" s="91"/>
      <c r="H14" s="92"/>
      <c r="I14" s="91"/>
      <c r="J14" s="93"/>
    </row>
    <row r="15" spans="2:10" ht="15" thickBot="1" x14ac:dyDescent="0.45">
      <c r="B15" s="68" t="s">
        <v>5</v>
      </c>
      <c r="C15" s="70"/>
      <c r="D15" s="70"/>
      <c r="E15" s="71"/>
      <c r="F15" s="87"/>
      <c r="G15" s="74" t="s">
        <v>5</v>
      </c>
      <c r="H15" s="76"/>
      <c r="I15" s="76"/>
      <c r="J15" s="77"/>
    </row>
    <row r="16" spans="2:10" ht="15" thickBot="1" x14ac:dyDescent="0.45">
      <c r="B16" s="72" t="s">
        <v>16</v>
      </c>
      <c r="C16" s="95">
        <v>0.2</v>
      </c>
      <c r="D16" s="109" t="s">
        <v>18</v>
      </c>
      <c r="E16" s="110" t="s">
        <v>19</v>
      </c>
      <c r="F16" s="87"/>
      <c r="G16" s="78" t="s">
        <v>16</v>
      </c>
      <c r="H16" s="95">
        <v>0.22</v>
      </c>
      <c r="I16" s="101" t="s">
        <v>18</v>
      </c>
      <c r="J16" s="104" t="s">
        <v>19</v>
      </c>
    </row>
    <row r="17" spans="2:10" x14ac:dyDescent="0.4">
      <c r="B17" s="72" t="s">
        <v>12</v>
      </c>
      <c r="C17" s="96">
        <f>NC!T5</f>
        <v>3863.6666666666665</v>
      </c>
      <c r="D17" s="105">
        <f>C17*(1-$C$16)</f>
        <v>3090.9333333333334</v>
      </c>
      <c r="E17" s="107">
        <f>C17*(1+$C$16)</f>
        <v>4636.3999999999996</v>
      </c>
      <c r="F17" s="87"/>
      <c r="G17" s="78" t="s">
        <v>12</v>
      </c>
      <c r="H17" s="96">
        <f>Cumberland!T5</f>
        <v>344.33333333333331</v>
      </c>
      <c r="I17" s="102">
        <f>H17*(1-$H$16)</f>
        <v>268.58</v>
      </c>
      <c r="J17" s="99">
        <f>H17*(1+$H$16)</f>
        <v>420.08666666666664</v>
      </c>
    </row>
    <row r="18" spans="2:10" x14ac:dyDescent="0.4">
      <c r="B18" s="72" t="s">
        <v>13</v>
      </c>
      <c r="C18" s="96">
        <f>NC!U5</f>
        <v>3943.2222222222222</v>
      </c>
      <c r="D18" s="105">
        <f t="shared" ref="D18:D19" si="8">C18*(1-$C$16)</f>
        <v>3154.577777777778</v>
      </c>
      <c r="E18" s="107">
        <f t="shared" ref="E18:E19" si="9">C18*(1+$C$16)</f>
        <v>4731.8666666666668</v>
      </c>
      <c r="F18" s="87"/>
      <c r="G18" s="78" t="s">
        <v>13</v>
      </c>
      <c r="H18" s="96">
        <f>Cumberland!U5</f>
        <v>328.4444444444444</v>
      </c>
      <c r="I18" s="102">
        <f>H18*(1-$H$16)</f>
        <v>256.18666666666667</v>
      </c>
      <c r="J18" s="99">
        <f>H18*(1+$H$16)</f>
        <v>400.70222222222213</v>
      </c>
    </row>
    <row r="19" spans="2:10" ht="15" thickBot="1" x14ac:dyDescent="0.45">
      <c r="B19" s="73" t="s">
        <v>14</v>
      </c>
      <c r="C19" s="97">
        <f>NC!V5</f>
        <v>4109.9629629629626</v>
      </c>
      <c r="D19" s="106">
        <f t="shared" si="8"/>
        <v>3287.9703703703703</v>
      </c>
      <c r="E19" s="108">
        <f t="shared" si="9"/>
        <v>4931.9555555555553</v>
      </c>
      <c r="F19" s="94"/>
      <c r="G19" s="79" t="s">
        <v>14</v>
      </c>
      <c r="H19" s="97">
        <f>Cumberland!V5</f>
        <v>308.59259259259255</v>
      </c>
      <c r="I19" s="103">
        <f>H19*(1-$H$16)</f>
        <v>240.70222222222219</v>
      </c>
      <c r="J19" s="100">
        <f>H19*(1+$H$16)</f>
        <v>376.48296296296292</v>
      </c>
    </row>
  </sheetData>
  <mergeCells count="2">
    <mergeCell ref="B2:E2"/>
    <mergeCell ref="G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D7CC-01A2-4AFB-A46D-80722AAE6D61}">
  <dimension ref="A1:Y47"/>
  <sheetViews>
    <sheetView showGridLines="0" topLeftCell="A20" zoomScale="55" zoomScaleNormal="55" workbookViewId="0">
      <selection activeCell="X4" sqref="X4"/>
    </sheetView>
  </sheetViews>
  <sheetFormatPr defaultRowHeight="14.6" x14ac:dyDescent="0.4"/>
  <cols>
    <col min="1" max="1" width="22.53515625" bestFit="1" customWidth="1"/>
    <col min="19" max="19" width="9.69140625" customWidth="1"/>
  </cols>
  <sheetData>
    <row r="1" spans="1:22" ht="17.600000000000001" x14ac:dyDescent="0.4">
      <c r="A1" s="1" t="s">
        <v>9</v>
      </c>
      <c r="B1" s="60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2"/>
      <c r="T1" s="62" t="s">
        <v>1</v>
      </c>
      <c r="U1" s="63"/>
      <c r="V1" s="64"/>
    </row>
    <row r="2" spans="1:22" x14ac:dyDescent="0.4">
      <c r="A2" s="3" t="s">
        <v>10</v>
      </c>
      <c r="B2" s="4">
        <v>2007</v>
      </c>
      <c r="C2" s="4">
        <v>2008</v>
      </c>
      <c r="D2" s="4">
        <v>2009</v>
      </c>
      <c r="E2" s="4">
        <v>2010</v>
      </c>
      <c r="F2" s="4">
        <v>2011</v>
      </c>
      <c r="G2" s="4">
        <v>2012</v>
      </c>
      <c r="H2" s="4">
        <v>2013</v>
      </c>
      <c r="I2" s="4">
        <v>2014</v>
      </c>
      <c r="J2" s="4">
        <v>2015</v>
      </c>
      <c r="K2" s="4">
        <v>2016</v>
      </c>
      <c r="L2" s="4">
        <v>2017</v>
      </c>
      <c r="M2" s="4">
        <v>2018</v>
      </c>
      <c r="N2" s="4">
        <v>2019</v>
      </c>
      <c r="O2" s="4">
        <v>2020</v>
      </c>
      <c r="P2" s="4">
        <v>2021</v>
      </c>
      <c r="Q2" s="4">
        <v>2022</v>
      </c>
      <c r="R2" s="4">
        <v>2023</v>
      </c>
      <c r="S2" s="28">
        <f>R2+1</f>
        <v>2024</v>
      </c>
      <c r="T2" s="5">
        <f t="shared" ref="T2:V2" si="0">S2+1</f>
        <v>2025</v>
      </c>
      <c r="U2" s="6">
        <f t="shared" si="0"/>
        <v>2026</v>
      </c>
      <c r="V2" s="7">
        <f t="shared" si="0"/>
        <v>2027</v>
      </c>
    </row>
    <row r="3" spans="1:22" s="13" customFormat="1" ht="20.05" customHeight="1" x14ac:dyDescent="0.4">
      <c r="A3" s="47" t="s">
        <v>3</v>
      </c>
      <c r="B3" s="48">
        <v>11802</v>
      </c>
      <c r="C3" s="48">
        <v>12411</v>
      </c>
      <c r="D3" s="48">
        <v>12918</v>
      </c>
      <c r="E3" s="48">
        <v>12191</v>
      </c>
      <c r="F3" s="48">
        <v>12896</v>
      </c>
      <c r="G3" s="48">
        <v>13524</v>
      </c>
      <c r="H3" s="48">
        <v>12168</v>
      </c>
      <c r="I3" s="48">
        <v>11491</v>
      </c>
      <c r="J3" s="48">
        <v>10685</v>
      </c>
      <c r="K3" s="48">
        <v>9559</v>
      </c>
      <c r="L3" s="48">
        <v>8962</v>
      </c>
      <c r="M3" s="48">
        <v>9268</v>
      </c>
      <c r="N3" s="48">
        <v>9314</v>
      </c>
      <c r="O3" s="48">
        <v>9280</v>
      </c>
      <c r="P3" s="48">
        <v>7249</v>
      </c>
      <c r="Q3" s="48">
        <v>9382</v>
      </c>
      <c r="R3" s="48">
        <v>9754</v>
      </c>
      <c r="S3" s="48">
        <v>11626</v>
      </c>
      <c r="T3" s="10">
        <f>(Q3+R3+S3)/3</f>
        <v>10254</v>
      </c>
      <c r="U3" s="11">
        <f t="shared" ref="U3:V5" si="1">(R3+S3+T3)/3</f>
        <v>10544.666666666666</v>
      </c>
      <c r="V3" s="12">
        <f t="shared" si="1"/>
        <v>10808.222222222221</v>
      </c>
    </row>
    <row r="4" spans="1:22" s="13" customFormat="1" ht="20.05" customHeight="1" x14ac:dyDescent="0.4">
      <c r="A4" s="49" t="s">
        <v>4</v>
      </c>
      <c r="B4" s="50">
        <v>7879</v>
      </c>
      <c r="C4" s="50">
        <v>8025</v>
      </c>
      <c r="D4" s="50">
        <v>8473</v>
      </c>
      <c r="E4" s="50">
        <v>9173</v>
      </c>
      <c r="F4" s="50">
        <v>9245</v>
      </c>
      <c r="G4" s="50">
        <v>8809</v>
      </c>
      <c r="H4" s="50">
        <v>9013</v>
      </c>
      <c r="I4" s="50">
        <v>8874</v>
      </c>
      <c r="J4" s="50">
        <v>8260</v>
      </c>
      <c r="K4" s="50">
        <v>7250</v>
      </c>
      <c r="L4" s="50">
        <v>6511</v>
      </c>
      <c r="M4" s="50">
        <v>6818</v>
      </c>
      <c r="N4" s="50">
        <v>7046</v>
      </c>
      <c r="O4" s="50">
        <v>6722</v>
      </c>
      <c r="P4" s="50">
        <v>5612</v>
      </c>
      <c r="Q4" s="50">
        <v>5757</v>
      </c>
      <c r="R4" s="50">
        <v>6311</v>
      </c>
      <c r="S4" s="50">
        <v>7103</v>
      </c>
      <c r="T4" s="10">
        <f>(Q4+R4+S4)/3</f>
        <v>6390.333333333333</v>
      </c>
      <c r="U4" s="11">
        <f t="shared" si="1"/>
        <v>6601.4444444444443</v>
      </c>
      <c r="V4" s="12">
        <f t="shared" si="1"/>
        <v>6698.2592592592591</v>
      </c>
    </row>
    <row r="5" spans="1:22" s="13" customFormat="1" ht="15" thickBot="1" x14ac:dyDescent="0.45">
      <c r="A5" s="51" t="s">
        <v>5</v>
      </c>
      <c r="B5" s="52">
        <v>3923</v>
      </c>
      <c r="C5" s="52">
        <v>4386</v>
      </c>
      <c r="D5" s="52">
        <v>4445</v>
      </c>
      <c r="E5" s="52">
        <v>3018</v>
      </c>
      <c r="F5" s="52">
        <v>3651</v>
      </c>
      <c r="G5" s="52">
        <v>4715</v>
      </c>
      <c r="H5" s="52">
        <v>3155</v>
      </c>
      <c r="I5" s="52">
        <v>2617</v>
      </c>
      <c r="J5" s="52">
        <v>2425</v>
      </c>
      <c r="K5" s="52">
        <v>2309</v>
      </c>
      <c r="L5" s="52">
        <v>2451</v>
      </c>
      <c r="M5" s="52">
        <v>2450</v>
      </c>
      <c r="N5" s="52">
        <v>2268</v>
      </c>
      <c r="O5" s="52">
        <v>2558</v>
      </c>
      <c r="P5" s="52">
        <v>1637</v>
      </c>
      <c r="Q5" s="52">
        <v>3625</v>
      </c>
      <c r="R5" s="52">
        <v>3443</v>
      </c>
      <c r="S5" s="52">
        <v>4523</v>
      </c>
      <c r="T5" s="14">
        <f>(Q5+R5+S5)/3</f>
        <v>3863.6666666666665</v>
      </c>
      <c r="U5" s="15">
        <f t="shared" si="1"/>
        <v>3943.2222222222222</v>
      </c>
      <c r="V5" s="16">
        <f t="shared" si="1"/>
        <v>4109.9629629629626</v>
      </c>
    </row>
    <row r="6" spans="1:22" s="13" customFormat="1" ht="20.05" hidden="1" customHeight="1" x14ac:dyDescent="0.4">
      <c r="A6" s="8"/>
      <c r="B6" s="9" t="s">
        <v>6</v>
      </c>
      <c r="C6" s="9" t="s">
        <v>6</v>
      </c>
      <c r="D6" s="9" t="s">
        <v>6</v>
      </c>
      <c r="E6" s="9" t="s">
        <v>6</v>
      </c>
      <c r="F6" s="9" t="s">
        <v>6</v>
      </c>
      <c r="G6" s="9" t="s">
        <v>6</v>
      </c>
      <c r="H6" s="9" t="s">
        <v>6</v>
      </c>
      <c r="I6" s="9" t="s">
        <v>6</v>
      </c>
      <c r="J6" s="9" t="s">
        <v>6</v>
      </c>
      <c r="K6" s="9" t="s">
        <v>6</v>
      </c>
      <c r="L6" s="9" t="s">
        <v>6</v>
      </c>
      <c r="M6" s="9" t="s">
        <v>6</v>
      </c>
      <c r="N6" s="9" t="s">
        <v>6</v>
      </c>
      <c r="O6" s="9" t="s">
        <v>6</v>
      </c>
      <c r="P6" s="9" t="s">
        <v>6</v>
      </c>
      <c r="Q6" s="9" t="s">
        <v>6</v>
      </c>
      <c r="R6" s="9" t="s">
        <v>6</v>
      </c>
      <c r="S6" s="9" t="str">
        <f t="shared" ref="S6:S8" ca="1" si="2">IFERROR(INDEX(INDIRECT("'"&amp;S$2&amp;"'!"&amp;"$A:$AXF"),MATCH($A$1,INDIRECT("'"&amp;S$2&amp;"'!$A:$A"),0),MATCH($A6,INDIRECT("'"&amp;S$2&amp;"'!$1:$1"),0)),"")</f>
        <v/>
      </c>
    </row>
    <row r="7" spans="1:22" s="13" customFormat="1" ht="20.05" hidden="1" customHeight="1" x14ac:dyDescent="0.4">
      <c r="A7" s="8"/>
      <c r="B7" s="9" t="s">
        <v>6</v>
      </c>
      <c r="C7" s="9" t="s">
        <v>6</v>
      </c>
      <c r="D7" s="9" t="s">
        <v>6</v>
      </c>
      <c r="E7" s="9" t="s">
        <v>6</v>
      </c>
      <c r="F7" s="9" t="s">
        <v>6</v>
      </c>
      <c r="G7" s="9" t="s">
        <v>6</v>
      </c>
      <c r="H7" s="9" t="s">
        <v>6</v>
      </c>
      <c r="I7" s="9" t="s">
        <v>6</v>
      </c>
      <c r="J7" s="9" t="s">
        <v>6</v>
      </c>
      <c r="K7" s="9" t="s">
        <v>6</v>
      </c>
      <c r="L7" s="9" t="s">
        <v>6</v>
      </c>
      <c r="M7" s="9" t="s">
        <v>6</v>
      </c>
      <c r="N7" s="9" t="s">
        <v>6</v>
      </c>
      <c r="O7" s="9" t="s">
        <v>6</v>
      </c>
      <c r="P7" s="9" t="s">
        <v>6</v>
      </c>
      <c r="Q7" s="9" t="s">
        <v>6</v>
      </c>
      <c r="R7" s="9" t="s">
        <v>6</v>
      </c>
      <c r="S7" s="9" t="str">
        <f t="shared" ca="1" si="2"/>
        <v/>
      </c>
    </row>
    <row r="8" spans="1:22" s="13" customFormat="1" ht="20.05" hidden="1" customHeight="1" x14ac:dyDescent="0.4">
      <c r="A8" s="8"/>
      <c r="B8" s="9" t="s">
        <v>6</v>
      </c>
      <c r="C8" s="9" t="s">
        <v>6</v>
      </c>
      <c r="D8" s="9" t="s">
        <v>6</v>
      </c>
      <c r="E8" s="9" t="s">
        <v>6</v>
      </c>
      <c r="F8" s="9" t="s">
        <v>6</v>
      </c>
      <c r="G8" s="9" t="s">
        <v>6</v>
      </c>
      <c r="H8" s="9" t="s">
        <v>6</v>
      </c>
      <c r="I8" s="9" t="s">
        <v>6</v>
      </c>
      <c r="J8" s="9" t="s">
        <v>6</v>
      </c>
      <c r="K8" s="9" t="s">
        <v>6</v>
      </c>
      <c r="L8" s="9" t="s">
        <v>6</v>
      </c>
      <c r="M8" s="9" t="s">
        <v>6</v>
      </c>
      <c r="N8" s="9" t="s">
        <v>6</v>
      </c>
      <c r="O8" s="9" t="s">
        <v>6</v>
      </c>
      <c r="P8" s="9" t="s">
        <v>6</v>
      </c>
      <c r="Q8" s="9" t="s">
        <v>6</v>
      </c>
      <c r="R8" s="9" t="s">
        <v>6</v>
      </c>
      <c r="S8" s="9" t="str">
        <f t="shared" ca="1" si="2"/>
        <v/>
      </c>
    </row>
    <row r="9" spans="1:22" s="13" customFormat="1" ht="27.65" customHeight="1" x14ac:dyDescent="0.4"/>
    <row r="29" spans="1:22" ht="15" thickBot="1" x14ac:dyDescent="0.45"/>
    <row r="30" spans="1:22" ht="15" thickBot="1" x14ac:dyDescent="0.45">
      <c r="T30" s="57" t="s">
        <v>1</v>
      </c>
      <c r="U30" s="58"/>
      <c r="V30" s="59"/>
    </row>
    <row r="31" spans="1:22" x14ac:dyDescent="0.4">
      <c r="A31" s="37" t="str">
        <f>A2</f>
        <v>North Carolina</v>
      </c>
      <c r="B31" s="17">
        <f t="shared" ref="B31:S31" si="3">B2</f>
        <v>2007</v>
      </c>
      <c r="C31" s="17">
        <f t="shared" si="3"/>
        <v>2008</v>
      </c>
      <c r="D31" s="17">
        <f t="shared" si="3"/>
        <v>2009</v>
      </c>
      <c r="E31" s="17">
        <f t="shared" si="3"/>
        <v>2010</v>
      </c>
      <c r="F31" s="17">
        <f t="shared" si="3"/>
        <v>2011</v>
      </c>
      <c r="G31" s="17">
        <f t="shared" si="3"/>
        <v>2012</v>
      </c>
      <c r="H31" s="17">
        <f t="shared" si="3"/>
        <v>2013</v>
      </c>
      <c r="I31" s="17">
        <f t="shared" si="3"/>
        <v>2014</v>
      </c>
      <c r="J31" s="17">
        <f t="shared" si="3"/>
        <v>2015</v>
      </c>
      <c r="K31" s="17">
        <f t="shared" si="3"/>
        <v>2016</v>
      </c>
      <c r="L31" s="17">
        <f t="shared" si="3"/>
        <v>2017</v>
      </c>
      <c r="M31" s="17">
        <f t="shared" si="3"/>
        <v>2018</v>
      </c>
      <c r="N31" s="17">
        <f t="shared" si="3"/>
        <v>2019</v>
      </c>
      <c r="O31" s="17">
        <f t="shared" si="3"/>
        <v>2020</v>
      </c>
      <c r="P31" s="17">
        <f t="shared" si="3"/>
        <v>2021</v>
      </c>
      <c r="Q31" s="17">
        <f t="shared" si="3"/>
        <v>2022</v>
      </c>
      <c r="R31" s="17">
        <f t="shared" si="3"/>
        <v>2023</v>
      </c>
      <c r="S31" s="18">
        <f t="shared" si="3"/>
        <v>2024</v>
      </c>
      <c r="T31" s="29">
        <f>S31+1</f>
        <v>2025</v>
      </c>
      <c r="U31" s="30">
        <f t="shared" ref="U31:V31" si="4">T31+1</f>
        <v>2026</v>
      </c>
      <c r="V31" s="31">
        <f t="shared" si="4"/>
        <v>2027</v>
      </c>
    </row>
    <row r="32" spans="1:22" x14ac:dyDescent="0.4">
      <c r="A32" s="44" t="str">
        <f>A3</f>
        <v>Overall Homeless</v>
      </c>
      <c r="B32" s="45">
        <f>B3/B$3</f>
        <v>1</v>
      </c>
      <c r="C32" s="45">
        <f>C3/C$3</f>
        <v>1</v>
      </c>
      <c r="D32" s="45">
        <f t="shared" ref="D32:R32" si="5">D3/D$3</f>
        <v>1</v>
      </c>
      <c r="E32" s="45">
        <f t="shared" si="5"/>
        <v>1</v>
      </c>
      <c r="F32" s="45">
        <f t="shared" si="5"/>
        <v>1</v>
      </c>
      <c r="G32" s="45">
        <f t="shared" si="5"/>
        <v>1</v>
      </c>
      <c r="H32" s="45">
        <f t="shared" si="5"/>
        <v>1</v>
      </c>
      <c r="I32" s="45">
        <f t="shared" si="5"/>
        <v>1</v>
      </c>
      <c r="J32" s="45">
        <f t="shared" si="5"/>
        <v>1</v>
      </c>
      <c r="K32" s="45">
        <f t="shared" si="5"/>
        <v>1</v>
      </c>
      <c r="L32" s="45">
        <f t="shared" si="5"/>
        <v>1</v>
      </c>
      <c r="M32" s="45">
        <f t="shared" si="5"/>
        <v>1</v>
      </c>
      <c r="N32" s="45">
        <f t="shared" si="5"/>
        <v>1</v>
      </c>
      <c r="O32" s="45">
        <f t="shared" si="5"/>
        <v>1</v>
      </c>
      <c r="P32" s="45">
        <f t="shared" si="5"/>
        <v>1</v>
      </c>
      <c r="Q32" s="45">
        <f t="shared" si="5"/>
        <v>1</v>
      </c>
      <c r="R32" s="45">
        <f t="shared" si="5"/>
        <v>1</v>
      </c>
      <c r="S32" s="46">
        <f>S3/S$3</f>
        <v>1</v>
      </c>
      <c r="T32" s="19">
        <f t="shared" ref="T32:V34" si="6">T3/T$3</f>
        <v>1</v>
      </c>
      <c r="U32" s="20">
        <f t="shared" si="6"/>
        <v>1</v>
      </c>
      <c r="V32" s="21">
        <f t="shared" si="6"/>
        <v>1</v>
      </c>
    </row>
    <row r="33" spans="1:25" x14ac:dyDescent="0.4">
      <c r="A33" s="41" t="str">
        <f>A4</f>
        <v>Sheltered Total Homeless</v>
      </c>
      <c r="B33" s="42">
        <f>B4/B$3</f>
        <v>0.66759871208269783</v>
      </c>
      <c r="C33" s="42">
        <f t="shared" ref="C33:S34" si="7">C4/C$3</f>
        <v>0.64660381919265164</v>
      </c>
      <c r="D33" s="42">
        <f t="shared" si="7"/>
        <v>0.65590648707230226</v>
      </c>
      <c r="E33" s="42">
        <f t="shared" si="7"/>
        <v>0.75244032482979251</v>
      </c>
      <c r="F33" s="42">
        <f t="shared" si="7"/>
        <v>0.71688895781637718</v>
      </c>
      <c r="G33" s="42">
        <f t="shared" si="7"/>
        <v>0.65136054421768708</v>
      </c>
      <c r="H33" s="42">
        <f t="shared" si="7"/>
        <v>0.74071334648257725</v>
      </c>
      <c r="I33" s="42">
        <f t="shared" si="7"/>
        <v>0.77225654860325477</v>
      </c>
      <c r="J33" s="42">
        <f t="shared" si="7"/>
        <v>0.77304632662611139</v>
      </c>
      <c r="K33" s="42">
        <f t="shared" si="7"/>
        <v>0.75844753635317497</v>
      </c>
      <c r="L33" s="42">
        <f t="shared" si="7"/>
        <v>0.72651193929926361</v>
      </c>
      <c r="M33" s="42">
        <f t="shared" si="7"/>
        <v>0.7356495468277946</v>
      </c>
      <c r="N33" s="42">
        <f t="shared" si="7"/>
        <v>0.7564955980244793</v>
      </c>
      <c r="O33" s="42">
        <f t="shared" si="7"/>
        <v>0.72435344827586212</v>
      </c>
      <c r="P33" s="42">
        <f t="shared" si="7"/>
        <v>0.77417574837908676</v>
      </c>
      <c r="Q33" s="42">
        <f t="shared" si="7"/>
        <v>0.61362182903432105</v>
      </c>
      <c r="R33" s="42">
        <f t="shared" si="7"/>
        <v>0.64701660857084276</v>
      </c>
      <c r="S33" s="43">
        <f t="shared" si="7"/>
        <v>0.61095819714433164</v>
      </c>
      <c r="T33" s="19">
        <f t="shared" si="6"/>
        <v>0.62320395292893827</v>
      </c>
      <c r="U33" s="20">
        <f t="shared" si="6"/>
        <v>0.62604581568354722</v>
      </c>
      <c r="V33" s="21">
        <f t="shared" si="6"/>
        <v>0.619737374152737</v>
      </c>
    </row>
    <row r="34" spans="1:25" ht="15" thickBot="1" x14ac:dyDescent="0.45">
      <c r="A34" s="38" t="str">
        <f>A5</f>
        <v>Unsheltered Homeless</v>
      </c>
      <c r="B34" s="39">
        <f>B5/B$3</f>
        <v>0.33240128791730217</v>
      </c>
      <c r="C34" s="39">
        <f t="shared" si="7"/>
        <v>0.3533961808073483</v>
      </c>
      <c r="D34" s="39">
        <f t="shared" si="7"/>
        <v>0.3440935129276978</v>
      </c>
      <c r="E34" s="39">
        <f t="shared" si="7"/>
        <v>0.24755967517020752</v>
      </c>
      <c r="F34" s="39">
        <f t="shared" si="7"/>
        <v>0.28311104218362282</v>
      </c>
      <c r="G34" s="39">
        <f t="shared" si="7"/>
        <v>0.34863945578231292</v>
      </c>
      <c r="H34" s="39">
        <f t="shared" si="7"/>
        <v>0.25928665351742275</v>
      </c>
      <c r="I34" s="39">
        <f t="shared" si="7"/>
        <v>0.22774345139674529</v>
      </c>
      <c r="J34" s="39">
        <f t="shared" si="7"/>
        <v>0.22695367337388864</v>
      </c>
      <c r="K34" s="39">
        <f t="shared" si="7"/>
        <v>0.24155246364682498</v>
      </c>
      <c r="L34" s="39">
        <f t="shared" si="7"/>
        <v>0.27348806070073645</v>
      </c>
      <c r="M34" s="39">
        <f t="shared" si="7"/>
        <v>0.26435045317220546</v>
      </c>
      <c r="N34" s="39">
        <f t="shared" si="7"/>
        <v>0.24350440197552073</v>
      </c>
      <c r="O34" s="39">
        <f t="shared" si="7"/>
        <v>0.27564655172413793</v>
      </c>
      <c r="P34" s="39">
        <f t="shared" si="7"/>
        <v>0.22582425162091324</v>
      </c>
      <c r="Q34" s="39">
        <f t="shared" si="7"/>
        <v>0.38637817096567895</v>
      </c>
      <c r="R34" s="39">
        <f t="shared" si="7"/>
        <v>0.35298339142915724</v>
      </c>
      <c r="S34" s="40">
        <f t="shared" si="7"/>
        <v>0.38904180285566831</v>
      </c>
      <c r="T34" s="22">
        <f t="shared" si="6"/>
        <v>0.37679604707106168</v>
      </c>
      <c r="U34" s="23">
        <f t="shared" si="6"/>
        <v>0.37395418431645278</v>
      </c>
      <c r="V34" s="24">
        <f t="shared" si="6"/>
        <v>0.38026262584726306</v>
      </c>
    </row>
    <row r="35" spans="1:25" ht="15" thickBot="1" x14ac:dyDescent="0.45"/>
    <row r="36" spans="1:25" ht="15" thickBot="1" x14ac:dyDescent="0.45">
      <c r="T36" s="57" t="s">
        <v>7</v>
      </c>
      <c r="U36" s="58"/>
      <c r="V36" s="59"/>
    </row>
    <row r="37" spans="1:25" ht="15" thickBot="1" x14ac:dyDescent="0.45">
      <c r="A37" s="37" t="s">
        <v>7</v>
      </c>
      <c r="B37" s="17">
        <f>B31</f>
        <v>2007</v>
      </c>
      <c r="C37" s="17">
        <f t="shared" ref="C37:S37" si="8">C31</f>
        <v>2008</v>
      </c>
      <c r="D37" s="17">
        <f t="shared" si="8"/>
        <v>2009</v>
      </c>
      <c r="E37" s="17">
        <f t="shared" si="8"/>
        <v>2010</v>
      </c>
      <c r="F37" s="17">
        <f t="shared" si="8"/>
        <v>2011</v>
      </c>
      <c r="G37" s="17">
        <f t="shared" si="8"/>
        <v>2012</v>
      </c>
      <c r="H37" s="17">
        <f t="shared" si="8"/>
        <v>2013</v>
      </c>
      <c r="I37" s="17">
        <f t="shared" si="8"/>
        <v>2014</v>
      </c>
      <c r="J37" s="17">
        <f t="shared" si="8"/>
        <v>2015</v>
      </c>
      <c r="K37" s="17">
        <f t="shared" si="8"/>
        <v>2016</v>
      </c>
      <c r="L37" s="17">
        <f t="shared" si="8"/>
        <v>2017</v>
      </c>
      <c r="M37" s="17">
        <f t="shared" si="8"/>
        <v>2018</v>
      </c>
      <c r="N37" s="17">
        <f t="shared" si="8"/>
        <v>2019</v>
      </c>
      <c r="O37" s="17">
        <f t="shared" si="8"/>
        <v>2020</v>
      </c>
      <c r="P37" s="17">
        <f t="shared" si="8"/>
        <v>2021</v>
      </c>
      <c r="Q37" s="17">
        <f t="shared" si="8"/>
        <v>2022</v>
      </c>
      <c r="R37" s="17">
        <f t="shared" si="8"/>
        <v>2023</v>
      </c>
      <c r="S37" s="18">
        <f t="shared" si="8"/>
        <v>2024</v>
      </c>
      <c r="T37" s="30">
        <f>S37+1</f>
        <v>2025</v>
      </c>
      <c r="U37" s="30">
        <f t="shared" ref="U37:V37" si="9">T37+1</f>
        <v>2026</v>
      </c>
      <c r="V37" s="30">
        <f t="shared" si="9"/>
        <v>2027</v>
      </c>
      <c r="X37" s="65" t="s">
        <v>8</v>
      </c>
      <c r="Y37" s="66"/>
    </row>
    <row r="38" spans="1:25" x14ac:dyDescent="0.4">
      <c r="A38" s="44" t="str" cm="1">
        <f t="array" ref="A38:A40">A32:A34</f>
        <v>Overall Homeless</v>
      </c>
      <c r="B38" s="45"/>
      <c r="C38" s="45">
        <f>(C3/B3)-1</f>
        <v>5.1601423487544373E-2</v>
      </c>
      <c r="D38" s="45">
        <f t="shared" ref="D38:S40" si="10">(D3/C3)-1</f>
        <v>4.0850858109741317E-2</v>
      </c>
      <c r="E38" s="45">
        <f t="shared" si="10"/>
        <v>-5.6278061619445707E-2</v>
      </c>
      <c r="F38" s="45">
        <f t="shared" si="10"/>
        <v>5.7829546386678699E-2</v>
      </c>
      <c r="G38" s="45">
        <f t="shared" si="10"/>
        <v>4.8697270471464105E-2</v>
      </c>
      <c r="H38" s="45">
        <f t="shared" si="10"/>
        <v>-0.10026619343389531</v>
      </c>
      <c r="I38" s="45">
        <f t="shared" si="10"/>
        <v>-5.5637738330046038E-2</v>
      </c>
      <c r="J38" s="45">
        <f t="shared" si="10"/>
        <v>-7.0141850143590645E-2</v>
      </c>
      <c r="K38" s="45">
        <f t="shared" si="10"/>
        <v>-0.10538137576041184</v>
      </c>
      <c r="L38" s="45">
        <f t="shared" si="10"/>
        <v>-6.2454231614185618E-2</v>
      </c>
      <c r="M38" s="45">
        <f t="shared" si="10"/>
        <v>3.4144164249051645E-2</v>
      </c>
      <c r="N38" s="45">
        <f t="shared" si="10"/>
        <v>4.9633146309884246E-3</v>
      </c>
      <c r="O38" s="45">
        <f t="shared" si="10"/>
        <v>-3.6504187245007813E-3</v>
      </c>
      <c r="P38" s="45">
        <f t="shared" si="10"/>
        <v>-0.21885775862068968</v>
      </c>
      <c r="Q38" s="45">
        <f t="shared" si="10"/>
        <v>0.294247482411367</v>
      </c>
      <c r="R38" s="45">
        <f t="shared" si="10"/>
        <v>3.9650394372202191E-2</v>
      </c>
      <c r="S38" s="46">
        <f t="shared" si="10"/>
        <v>0.19192126307156032</v>
      </c>
      <c r="T38" s="32">
        <f t="shared" ref="T38:V40" si="11">(T3/S3)-1</f>
        <v>-0.11801135386203332</v>
      </c>
      <c r="U38" s="33">
        <f t="shared" si="11"/>
        <v>2.83466614654444E-2</v>
      </c>
      <c r="V38" s="34">
        <f t="shared" si="11"/>
        <v>2.4994204547849286E-2</v>
      </c>
      <c r="W38" s="25"/>
      <c r="X38" s="53">
        <f>_xlfn.STDEV.S(C38:O38,R38:S38)</f>
        <v>7.8322536722122346E-2</v>
      </c>
      <c r="Y38" s="54"/>
    </row>
    <row r="39" spans="1:25" x14ac:dyDescent="0.4">
      <c r="A39" s="41" t="str">
        <v>Sheltered Total Homeless</v>
      </c>
      <c r="B39" s="42"/>
      <c r="C39" s="42">
        <f>(C4/B4)-1</f>
        <v>1.8530270338875443E-2</v>
      </c>
      <c r="D39" s="42">
        <f t="shared" si="10"/>
        <v>5.5825545171339641E-2</v>
      </c>
      <c r="E39" s="42">
        <f t="shared" si="10"/>
        <v>8.2615366458161255E-2</v>
      </c>
      <c r="F39" s="42">
        <f t="shared" si="10"/>
        <v>7.8491224245067492E-3</v>
      </c>
      <c r="G39" s="42">
        <f t="shared" si="10"/>
        <v>-4.7160627366143903E-2</v>
      </c>
      <c r="H39" s="42">
        <f t="shared" si="10"/>
        <v>2.3158133726870256E-2</v>
      </c>
      <c r="I39" s="42">
        <f t="shared" si="10"/>
        <v>-1.5422167979585066E-2</v>
      </c>
      <c r="J39" s="42">
        <f t="shared" si="10"/>
        <v>-6.9190894748704102E-2</v>
      </c>
      <c r="K39" s="42">
        <f t="shared" si="10"/>
        <v>-0.12227602905569013</v>
      </c>
      <c r="L39" s="42">
        <f t="shared" si="10"/>
        <v>-0.10193103448275864</v>
      </c>
      <c r="M39" s="42">
        <f t="shared" si="10"/>
        <v>4.7150975272615581E-2</v>
      </c>
      <c r="N39" s="42">
        <f t="shared" si="10"/>
        <v>3.3440891757113622E-2</v>
      </c>
      <c r="O39" s="42">
        <f t="shared" si="10"/>
        <v>-4.5983536758444465E-2</v>
      </c>
      <c r="P39" s="42">
        <f t="shared" si="10"/>
        <v>-0.16512942576614098</v>
      </c>
      <c r="Q39" s="42">
        <f t="shared" si="10"/>
        <v>2.5837491090520359E-2</v>
      </c>
      <c r="R39" s="42">
        <f t="shared" si="10"/>
        <v>9.6230675699148893E-2</v>
      </c>
      <c r="S39" s="43">
        <f t="shared" si="10"/>
        <v>0.12549516716843612</v>
      </c>
      <c r="T39" s="26">
        <f t="shared" si="11"/>
        <v>-0.10033319254774986</v>
      </c>
      <c r="U39" s="20">
        <f t="shared" si="11"/>
        <v>3.3036009250082543E-2</v>
      </c>
      <c r="V39" s="21">
        <f t="shared" si="11"/>
        <v>1.4665701670229403E-2</v>
      </c>
      <c r="W39" s="25"/>
      <c r="X39" s="53">
        <f t="shared" ref="X39:X40" si="12">_xlfn.STDEV.S(C39:O39,R39:S39)</f>
        <v>7.2416940392902862E-2</v>
      </c>
      <c r="Y39" s="54"/>
    </row>
    <row r="40" spans="1:25" ht="15" thickBot="1" x14ac:dyDescent="0.45">
      <c r="A40" s="38" t="str">
        <v>Unsheltered Homeless</v>
      </c>
      <c r="B40" s="39"/>
      <c r="C40" s="39">
        <f>(C5/B5)-1</f>
        <v>0.11802192199847061</v>
      </c>
      <c r="D40" s="39">
        <f t="shared" si="10"/>
        <v>1.3451892384860997E-2</v>
      </c>
      <c r="E40" s="39">
        <f t="shared" si="10"/>
        <v>-0.32103487064116987</v>
      </c>
      <c r="F40" s="39">
        <f t="shared" si="10"/>
        <v>0.20974155069582512</v>
      </c>
      <c r="G40" s="39">
        <f t="shared" si="10"/>
        <v>0.29142700629964402</v>
      </c>
      <c r="H40" s="39">
        <f t="shared" si="10"/>
        <v>-0.33085896076352073</v>
      </c>
      <c r="I40" s="39">
        <f t="shared" si="10"/>
        <v>-0.17052297939778127</v>
      </c>
      <c r="J40" s="39">
        <f t="shared" si="10"/>
        <v>-7.3366450133740879E-2</v>
      </c>
      <c r="K40" s="39">
        <f t="shared" si="10"/>
        <v>-4.7835051546391782E-2</v>
      </c>
      <c r="L40" s="39">
        <f t="shared" si="10"/>
        <v>6.1498484192290981E-2</v>
      </c>
      <c r="M40" s="39">
        <f t="shared" si="10"/>
        <v>-4.0799673602609499E-4</v>
      </c>
      <c r="N40" s="39">
        <f t="shared" si="10"/>
        <v>-7.4285714285714288E-2</v>
      </c>
      <c r="O40" s="39">
        <f t="shared" si="10"/>
        <v>0.1278659611992945</v>
      </c>
      <c r="P40" s="39">
        <f t="shared" si="10"/>
        <v>-0.36004691164972635</v>
      </c>
      <c r="Q40" s="39">
        <f t="shared" si="10"/>
        <v>1.2144166157605376</v>
      </c>
      <c r="R40" s="39">
        <f t="shared" si="10"/>
        <v>-5.0206896551724167E-2</v>
      </c>
      <c r="S40" s="40">
        <f t="shared" si="10"/>
        <v>0.31367993029334884</v>
      </c>
      <c r="T40" s="27">
        <f t="shared" si="11"/>
        <v>-0.14577345419706689</v>
      </c>
      <c r="U40" s="23">
        <f t="shared" si="11"/>
        <v>2.0590688177609007E-2</v>
      </c>
      <c r="V40" s="24">
        <f t="shared" si="11"/>
        <v>4.2285402988719412E-2</v>
      </c>
      <c r="W40" s="25"/>
      <c r="X40" s="55">
        <f t="shared" si="12"/>
        <v>0.19246088007888254</v>
      </c>
      <c r="Y40" s="56"/>
    </row>
    <row r="45" spans="1:25" x14ac:dyDescent="0.4">
      <c r="T45" s="25"/>
      <c r="U45" s="25"/>
    </row>
    <row r="46" spans="1:25" x14ac:dyDescent="0.4">
      <c r="T46" s="25"/>
      <c r="U46" s="25"/>
    </row>
    <row r="47" spans="1:25" x14ac:dyDescent="0.4">
      <c r="T47" s="25"/>
      <c r="U47" s="25"/>
    </row>
  </sheetData>
  <mergeCells count="8">
    <mergeCell ref="X39:Y39"/>
    <mergeCell ref="X40:Y40"/>
    <mergeCell ref="T36:V36"/>
    <mergeCell ref="B1:Q1"/>
    <mergeCell ref="T1:V1"/>
    <mergeCell ref="T30:V30"/>
    <mergeCell ref="X37:Y37"/>
    <mergeCell ref="X38:Y38"/>
  </mergeCells>
  <pageMargins left="0.7" right="0.7" top="0.75" bottom="0.75" header="0.3" footer="0.3"/>
  <drawing r:id="rId1"/>
  <legacy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34886B8-9C4B-4F32-89B0-20A146CC47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NC!C38:C38</xm:f>
              <xm:sqref>C38</xm:sqref>
            </x14:sparkline>
            <x14:sparkline>
              <xm:f>NC!D38:D38</xm:f>
              <xm:sqref>D38</xm:sqref>
            </x14:sparkline>
            <x14:sparkline>
              <xm:f>NC!E38:E38</xm:f>
              <xm:sqref>E38</xm:sqref>
            </x14:sparkline>
            <x14:sparkline>
              <xm:f>NC!F38:F38</xm:f>
              <xm:sqref>F38</xm:sqref>
            </x14:sparkline>
            <x14:sparkline>
              <xm:f>NC!G38:G38</xm:f>
              <xm:sqref>G38</xm:sqref>
            </x14:sparkline>
            <x14:sparkline>
              <xm:f>NC!H38:H38</xm:f>
              <xm:sqref>H38</xm:sqref>
            </x14:sparkline>
            <x14:sparkline>
              <xm:f>NC!I38:I38</xm:f>
              <xm:sqref>I38</xm:sqref>
            </x14:sparkline>
            <x14:sparkline>
              <xm:f>NC!J38:J38</xm:f>
              <xm:sqref>J38</xm:sqref>
            </x14:sparkline>
            <x14:sparkline>
              <xm:f>NC!K38:K38</xm:f>
              <xm:sqref>K38</xm:sqref>
            </x14:sparkline>
            <x14:sparkline>
              <xm:f>NC!L38:L38</xm:f>
              <xm:sqref>L38</xm:sqref>
            </x14:sparkline>
            <x14:sparkline>
              <xm:f>NC!M38:M38</xm:f>
              <xm:sqref>M38</xm:sqref>
            </x14:sparkline>
            <x14:sparkline>
              <xm:f>NC!N38:N38</xm:f>
              <xm:sqref>N38</xm:sqref>
            </x14:sparkline>
            <x14:sparkline>
              <xm:f>NC!O38:O38</xm:f>
              <xm:sqref>O38</xm:sqref>
            </x14:sparkline>
            <x14:sparkline>
              <xm:f>NC!P38:P38</xm:f>
              <xm:sqref>P38</xm:sqref>
            </x14:sparkline>
            <x14:sparkline>
              <xm:f>NC!Q38:Q38</xm:f>
              <xm:sqref>Q38</xm:sqref>
            </x14:sparkline>
            <x14:sparkline>
              <xm:f>NC!R38:R38</xm:f>
              <xm:sqref>R38</xm:sqref>
            </x14:sparkline>
            <x14:sparkline>
              <xm:f>NC!S38:S38</xm:f>
              <xm:sqref>S38</xm:sqref>
            </x14:sparkline>
          </x14:sparklines>
        </x14:sparklineGroup>
        <x14:sparklineGroup displayEmptyCellsAs="gap" xr2:uid="{09FCE6A0-02FC-4C64-BF09-8F53E0EE73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NC!V38:V38</xm:f>
              <xm:sqref>V38</xm:sqref>
            </x14:sparkline>
          </x14:sparklines>
        </x14:sparklineGroup>
        <x14:sparklineGroup displayEmptyCellsAs="gap" xr2:uid="{00EABF45-73F7-4181-9701-E09BD2044B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NC!U38:U38</xm:f>
              <xm:sqref>U38</xm:sqref>
            </x14:sparkline>
          </x14:sparklines>
        </x14:sparklineGroup>
        <x14:sparklineGroup displayEmptyCellsAs="gap" xr2:uid="{C38926A6-5B3A-4CE4-9D16-C4362C8A3D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NC!T38:T38</xm:f>
              <xm:sqref>T38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C4A0-4847-480E-8913-3CBFFBD776FE}">
  <dimension ref="A1:Y40"/>
  <sheetViews>
    <sheetView showGridLines="0" topLeftCell="A22" zoomScale="60" zoomScaleNormal="60" workbookViewId="0">
      <selection activeCell="U10" sqref="U10"/>
    </sheetView>
  </sheetViews>
  <sheetFormatPr defaultRowHeight="14.6" x14ac:dyDescent="0.4"/>
  <cols>
    <col min="1" max="1" width="32.69140625" bestFit="1" customWidth="1"/>
    <col min="19" max="19" width="9.69140625" customWidth="1"/>
  </cols>
  <sheetData>
    <row r="1" spans="1:22" ht="17.600000000000001" x14ac:dyDescent="0.4">
      <c r="A1" s="1" t="s">
        <v>0</v>
      </c>
      <c r="B1" s="60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2"/>
      <c r="T1" s="62" t="s">
        <v>1</v>
      </c>
      <c r="U1" s="63"/>
      <c r="V1" s="64"/>
    </row>
    <row r="2" spans="1:22" ht="24.9" x14ac:dyDescent="0.4">
      <c r="A2" s="3" t="s">
        <v>2</v>
      </c>
      <c r="B2" s="4">
        <v>2007</v>
      </c>
      <c r="C2" s="4">
        <v>2008</v>
      </c>
      <c r="D2" s="4">
        <v>2009</v>
      </c>
      <c r="E2" s="4">
        <v>2010</v>
      </c>
      <c r="F2" s="4">
        <v>2011</v>
      </c>
      <c r="G2" s="4">
        <v>2012</v>
      </c>
      <c r="H2" s="4">
        <v>2013</v>
      </c>
      <c r="I2" s="4">
        <v>2014</v>
      </c>
      <c r="J2" s="4">
        <v>2015</v>
      </c>
      <c r="K2" s="4">
        <v>2016</v>
      </c>
      <c r="L2" s="4">
        <v>2017</v>
      </c>
      <c r="M2" s="4">
        <v>2018</v>
      </c>
      <c r="N2" s="4">
        <v>2019</v>
      </c>
      <c r="O2" s="4">
        <v>2020</v>
      </c>
      <c r="P2" s="4">
        <v>2021</v>
      </c>
      <c r="Q2" s="4">
        <v>2022</v>
      </c>
      <c r="R2" s="4">
        <v>2023</v>
      </c>
      <c r="S2" s="4">
        <f>R2+1</f>
        <v>2024</v>
      </c>
      <c r="T2" s="5">
        <f t="shared" ref="T2:V2" si="0">S2+1</f>
        <v>2025</v>
      </c>
      <c r="U2" s="6">
        <f t="shared" si="0"/>
        <v>2026</v>
      </c>
      <c r="V2" s="7">
        <f t="shared" si="0"/>
        <v>2027</v>
      </c>
    </row>
    <row r="3" spans="1:22" s="13" customFormat="1" ht="20.05" customHeight="1" x14ac:dyDescent="0.4">
      <c r="A3" s="47" t="s">
        <v>3</v>
      </c>
      <c r="B3" s="48">
        <v>757</v>
      </c>
      <c r="C3" s="48">
        <v>1074</v>
      </c>
      <c r="D3" s="48">
        <v>965</v>
      </c>
      <c r="E3" s="48">
        <v>1033</v>
      </c>
      <c r="F3" s="48">
        <v>1061</v>
      </c>
      <c r="G3" s="48">
        <v>1606</v>
      </c>
      <c r="H3" s="48">
        <v>631</v>
      </c>
      <c r="I3" s="48">
        <v>653</v>
      </c>
      <c r="J3" s="48">
        <v>593</v>
      </c>
      <c r="K3" s="48">
        <v>515</v>
      </c>
      <c r="L3" s="48">
        <v>442</v>
      </c>
      <c r="M3" s="48">
        <v>372</v>
      </c>
      <c r="N3" s="48">
        <v>329</v>
      </c>
      <c r="O3" s="48">
        <v>297</v>
      </c>
      <c r="P3" s="48">
        <v>54</v>
      </c>
      <c r="Q3" s="48">
        <v>475</v>
      </c>
      <c r="R3" s="48">
        <v>474</v>
      </c>
      <c r="S3" s="48">
        <v>380</v>
      </c>
      <c r="T3" s="10">
        <f>(Q3+R3+S3)/3</f>
        <v>443</v>
      </c>
      <c r="U3" s="11">
        <f t="shared" ref="U3:V5" si="1">(R3+S3+T3)/3</f>
        <v>432.33333333333331</v>
      </c>
      <c r="V3" s="12">
        <f t="shared" si="1"/>
        <v>418.4444444444444</v>
      </c>
    </row>
    <row r="4" spans="1:22" s="13" customFormat="1" ht="20.05" customHeight="1" x14ac:dyDescent="0.4">
      <c r="A4" s="49" t="s">
        <v>4</v>
      </c>
      <c r="B4" s="50">
        <v>313</v>
      </c>
      <c r="C4" s="50">
        <v>266</v>
      </c>
      <c r="D4" s="50">
        <v>263</v>
      </c>
      <c r="E4" s="50">
        <v>294</v>
      </c>
      <c r="F4" s="50">
        <v>285</v>
      </c>
      <c r="G4" s="50">
        <v>306</v>
      </c>
      <c r="H4" s="50">
        <v>287</v>
      </c>
      <c r="I4" s="50">
        <v>268</v>
      </c>
      <c r="J4" s="50">
        <v>227</v>
      </c>
      <c r="K4" s="50">
        <v>224</v>
      </c>
      <c r="L4" s="50">
        <v>189</v>
      </c>
      <c r="M4" s="50">
        <v>147</v>
      </c>
      <c r="N4" s="50">
        <v>103</v>
      </c>
      <c r="O4" s="50">
        <v>132</v>
      </c>
      <c r="P4" s="50">
        <v>54</v>
      </c>
      <c r="Q4" s="50">
        <v>83</v>
      </c>
      <c r="R4" s="50">
        <v>86</v>
      </c>
      <c r="S4" s="50">
        <v>127</v>
      </c>
      <c r="T4" s="10">
        <f>(Q4+R4+S4)/3</f>
        <v>98.666666666666671</v>
      </c>
      <c r="U4" s="11">
        <f t="shared" si="1"/>
        <v>103.8888888888889</v>
      </c>
      <c r="V4" s="12">
        <f t="shared" si="1"/>
        <v>109.85185185185186</v>
      </c>
    </row>
    <row r="5" spans="1:22" s="13" customFormat="1" ht="15" thickBot="1" x14ac:dyDescent="0.45">
      <c r="A5" s="51" t="s">
        <v>5</v>
      </c>
      <c r="B5" s="52">
        <v>444</v>
      </c>
      <c r="C5" s="52">
        <v>808</v>
      </c>
      <c r="D5" s="52">
        <v>702</v>
      </c>
      <c r="E5" s="52">
        <v>739</v>
      </c>
      <c r="F5" s="52">
        <v>776</v>
      </c>
      <c r="G5" s="52">
        <v>1300</v>
      </c>
      <c r="H5" s="52">
        <v>344</v>
      </c>
      <c r="I5" s="52">
        <v>385</v>
      </c>
      <c r="J5" s="52">
        <v>366</v>
      </c>
      <c r="K5" s="52">
        <v>291</v>
      </c>
      <c r="L5" s="52">
        <v>253</v>
      </c>
      <c r="M5" s="52">
        <v>225</v>
      </c>
      <c r="N5" s="52">
        <v>226</v>
      </c>
      <c r="O5" s="52">
        <v>165</v>
      </c>
      <c r="P5" s="52">
        <v>0</v>
      </c>
      <c r="Q5" s="52">
        <v>392</v>
      </c>
      <c r="R5" s="52">
        <v>388</v>
      </c>
      <c r="S5" s="52">
        <v>253</v>
      </c>
      <c r="T5" s="14">
        <f>(Q5+R5+S5)/3</f>
        <v>344.33333333333331</v>
      </c>
      <c r="U5" s="15">
        <f t="shared" si="1"/>
        <v>328.4444444444444</v>
      </c>
      <c r="V5" s="16">
        <f t="shared" si="1"/>
        <v>308.59259259259255</v>
      </c>
    </row>
    <row r="6" spans="1:22" s="13" customFormat="1" ht="20.05" hidden="1" customHeight="1" x14ac:dyDescent="0.4">
      <c r="A6" s="8"/>
      <c r="B6" s="9" t="s">
        <v>6</v>
      </c>
      <c r="C6" s="9" t="s">
        <v>6</v>
      </c>
      <c r="D6" s="9" t="s">
        <v>6</v>
      </c>
      <c r="E6" s="9" t="s">
        <v>6</v>
      </c>
      <c r="F6" s="9" t="s">
        <v>6</v>
      </c>
      <c r="G6" s="9" t="s">
        <v>6</v>
      </c>
      <c r="H6" s="9" t="s">
        <v>6</v>
      </c>
      <c r="I6" s="9" t="s">
        <v>6</v>
      </c>
      <c r="J6" s="9" t="s">
        <v>6</v>
      </c>
      <c r="K6" s="9" t="s">
        <v>6</v>
      </c>
      <c r="L6" s="9" t="s">
        <v>6</v>
      </c>
      <c r="M6" s="9" t="s">
        <v>6</v>
      </c>
      <c r="N6" s="9" t="s">
        <v>6</v>
      </c>
      <c r="O6" s="9" t="s">
        <v>6</v>
      </c>
      <c r="P6" s="9" t="s">
        <v>6</v>
      </c>
      <c r="Q6" s="9" t="s">
        <v>6</v>
      </c>
      <c r="R6" s="9" t="s">
        <v>6</v>
      </c>
      <c r="S6" s="9" t="str">
        <f t="shared" ref="S6:S8" ca="1" si="2">IFERROR(INDEX(INDIRECT("'"&amp;S$2&amp;"'!"&amp;"$A:$AXH"),MATCH($A$1,INDIRECT("'"&amp;S$2&amp;"'!$A:$A"),0),MATCH($A6,INDIRECT("'"&amp;S$2&amp;"'!$1:$1"),0)),"")</f>
        <v/>
      </c>
    </row>
    <row r="7" spans="1:22" s="13" customFormat="1" ht="20.05" hidden="1" customHeight="1" x14ac:dyDescent="0.4">
      <c r="A7" s="8"/>
      <c r="B7" s="9" t="s">
        <v>6</v>
      </c>
      <c r="C7" s="9" t="s">
        <v>6</v>
      </c>
      <c r="D7" s="9" t="s">
        <v>6</v>
      </c>
      <c r="E7" s="9" t="s">
        <v>6</v>
      </c>
      <c r="F7" s="9" t="s">
        <v>6</v>
      </c>
      <c r="G7" s="9" t="s">
        <v>6</v>
      </c>
      <c r="H7" s="9" t="s">
        <v>6</v>
      </c>
      <c r="I7" s="9" t="s">
        <v>6</v>
      </c>
      <c r="J7" s="9" t="s">
        <v>6</v>
      </c>
      <c r="K7" s="9" t="s">
        <v>6</v>
      </c>
      <c r="L7" s="9" t="s">
        <v>6</v>
      </c>
      <c r="M7" s="9" t="s">
        <v>6</v>
      </c>
      <c r="N7" s="9" t="s">
        <v>6</v>
      </c>
      <c r="O7" s="9" t="s">
        <v>6</v>
      </c>
      <c r="P7" s="9" t="s">
        <v>6</v>
      </c>
      <c r="Q7" s="9" t="s">
        <v>6</v>
      </c>
      <c r="R7" s="9" t="s">
        <v>6</v>
      </c>
      <c r="S7" s="9" t="str">
        <f t="shared" ca="1" si="2"/>
        <v/>
      </c>
    </row>
    <row r="8" spans="1:22" s="13" customFormat="1" ht="20.05" hidden="1" customHeight="1" x14ac:dyDescent="0.4">
      <c r="A8" s="8"/>
      <c r="B8" s="9" t="s">
        <v>6</v>
      </c>
      <c r="C8" s="9" t="s">
        <v>6</v>
      </c>
      <c r="D8" s="9" t="s">
        <v>6</v>
      </c>
      <c r="E8" s="9" t="s">
        <v>6</v>
      </c>
      <c r="F8" s="9" t="s">
        <v>6</v>
      </c>
      <c r="G8" s="9" t="s">
        <v>6</v>
      </c>
      <c r="H8" s="9" t="s">
        <v>6</v>
      </c>
      <c r="I8" s="9" t="s">
        <v>6</v>
      </c>
      <c r="J8" s="9" t="s">
        <v>6</v>
      </c>
      <c r="K8" s="9" t="s">
        <v>6</v>
      </c>
      <c r="L8" s="9" t="s">
        <v>6</v>
      </c>
      <c r="M8" s="9" t="s">
        <v>6</v>
      </c>
      <c r="N8" s="9" t="s">
        <v>6</v>
      </c>
      <c r="O8" s="9" t="s">
        <v>6</v>
      </c>
      <c r="P8" s="9" t="s">
        <v>6</v>
      </c>
      <c r="Q8" s="9" t="s">
        <v>6</v>
      </c>
      <c r="R8" s="9" t="s">
        <v>6</v>
      </c>
      <c r="S8" s="9" t="str">
        <f t="shared" ca="1" si="2"/>
        <v/>
      </c>
    </row>
    <row r="9" spans="1:22" s="13" customFormat="1" ht="27.65" customHeight="1" x14ac:dyDescent="0.4"/>
    <row r="29" spans="1:22" ht="15" thickBot="1" x14ac:dyDescent="0.45"/>
    <row r="30" spans="1:22" ht="15" thickBot="1" x14ac:dyDescent="0.45">
      <c r="T30" s="57" t="s">
        <v>1</v>
      </c>
      <c r="U30" s="58"/>
      <c r="V30" s="59"/>
    </row>
    <row r="31" spans="1:22" ht="24.9" x14ac:dyDescent="0.4">
      <c r="A31" s="36" t="str">
        <f t="shared" ref="A31:S31" si="3">A2</f>
        <v>Fayetteville/Cumberland County CoC</v>
      </c>
      <c r="B31" s="35">
        <f t="shared" si="3"/>
        <v>2007</v>
      </c>
      <c r="C31" s="17">
        <f t="shared" si="3"/>
        <v>2008</v>
      </c>
      <c r="D31" s="17">
        <f t="shared" si="3"/>
        <v>2009</v>
      </c>
      <c r="E31" s="17">
        <f t="shared" si="3"/>
        <v>2010</v>
      </c>
      <c r="F31" s="17">
        <f t="shared" si="3"/>
        <v>2011</v>
      </c>
      <c r="G31" s="17">
        <f t="shared" si="3"/>
        <v>2012</v>
      </c>
      <c r="H31" s="17">
        <f t="shared" si="3"/>
        <v>2013</v>
      </c>
      <c r="I31" s="17">
        <f t="shared" si="3"/>
        <v>2014</v>
      </c>
      <c r="J31" s="17">
        <f t="shared" si="3"/>
        <v>2015</v>
      </c>
      <c r="K31" s="17">
        <f t="shared" si="3"/>
        <v>2016</v>
      </c>
      <c r="L31" s="17">
        <f t="shared" si="3"/>
        <v>2017</v>
      </c>
      <c r="M31" s="17">
        <f t="shared" si="3"/>
        <v>2018</v>
      </c>
      <c r="N31" s="17">
        <f t="shared" si="3"/>
        <v>2019</v>
      </c>
      <c r="O31" s="17">
        <f t="shared" si="3"/>
        <v>2020</v>
      </c>
      <c r="P31" s="17">
        <f t="shared" si="3"/>
        <v>2021</v>
      </c>
      <c r="Q31" s="17">
        <f t="shared" si="3"/>
        <v>2022</v>
      </c>
      <c r="R31" s="17">
        <f t="shared" si="3"/>
        <v>2023</v>
      </c>
      <c r="S31" s="18">
        <f t="shared" si="3"/>
        <v>2024</v>
      </c>
      <c r="T31" s="29">
        <f>S31+1</f>
        <v>2025</v>
      </c>
      <c r="U31" s="30">
        <f t="shared" ref="U31:V31" si="4">T31+1</f>
        <v>2026</v>
      </c>
      <c r="V31" s="31">
        <f t="shared" si="4"/>
        <v>2027</v>
      </c>
    </row>
    <row r="32" spans="1:22" x14ac:dyDescent="0.4">
      <c r="A32" s="44" t="str">
        <f>A3</f>
        <v>Overall Homeless</v>
      </c>
      <c r="B32" s="45">
        <f>B3/B$3</f>
        <v>1</v>
      </c>
      <c r="C32" s="45">
        <f>C3/C$3</f>
        <v>1</v>
      </c>
      <c r="D32" s="45">
        <f t="shared" ref="D32:V34" si="5">D3/D$3</f>
        <v>1</v>
      </c>
      <c r="E32" s="45">
        <f t="shared" si="5"/>
        <v>1</v>
      </c>
      <c r="F32" s="45">
        <f t="shared" si="5"/>
        <v>1</v>
      </c>
      <c r="G32" s="45">
        <f t="shared" si="5"/>
        <v>1</v>
      </c>
      <c r="H32" s="45">
        <f t="shared" si="5"/>
        <v>1</v>
      </c>
      <c r="I32" s="45">
        <f t="shared" si="5"/>
        <v>1</v>
      </c>
      <c r="J32" s="45">
        <f t="shared" si="5"/>
        <v>1</v>
      </c>
      <c r="K32" s="45">
        <f t="shared" si="5"/>
        <v>1</v>
      </c>
      <c r="L32" s="45">
        <f t="shared" si="5"/>
        <v>1</v>
      </c>
      <c r="M32" s="45">
        <f t="shared" si="5"/>
        <v>1</v>
      </c>
      <c r="N32" s="45">
        <f t="shared" si="5"/>
        <v>1</v>
      </c>
      <c r="O32" s="45">
        <f t="shared" si="5"/>
        <v>1</v>
      </c>
      <c r="P32" s="45">
        <f t="shared" si="5"/>
        <v>1</v>
      </c>
      <c r="Q32" s="45">
        <f t="shared" si="5"/>
        <v>1</v>
      </c>
      <c r="R32" s="45">
        <f t="shared" si="5"/>
        <v>1</v>
      </c>
      <c r="S32" s="46">
        <f t="shared" si="5"/>
        <v>1</v>
      </c>
      <c r="T32" s="19">
        <f t="shared" si="5"/>
        <v>1</v>
      </c>
      <c r="U32" s="20">
        <f t="shared" si="5"/>
        <v>1</v>
      </c>
      <c r="V32" s="21">
        <f t="shared" si="5"/>
        <v>1</v>
      </c>
    </row>
    <row r="33" spans="1:25" x14ac:dyDescent="0.4">
      <c r="A33" s="41" t="str">
        <f>A4</f>
        <v>Sheltered Total Homeless</v>
      </c>
      <c r="B33" s="42">
        <f>B4/B$3</f>
        <v>0.4134742404227213</v>
      </c>
      <c r="C33" s="42">
        <f t="shared" ref="C33:S34" si="6">C4/C$3</f>
        <v>0.24767225325884543</v>
      </c>
      <c r="D33" s="42">
        <f t="shared" si="6"/>
        <v>0.27253886010362693</v>
      </c>
      <c r="E33" s="42">
        <f t="shared" si="6"/>
        <v>0.2846079380445305</v>
      </c>
      <c r="F33" s="42">
        <f t="shared" si="6"/>
        <v>0.26861451460885954</v>
      </c>
      <c r="G33" s="42">
        <f t="shared" si="6"/>
        <v>0.19053549190535493</v>
      </c>
      <c r="H33" s="42">
        <f t="shared" si="6"/>
        <v>0.45483359746434232</v>
      </c>
      <c r="I33" s="42">
        <f t="shared" si="6"/>
        <v>0.41041347626339969</v>
      </c>
      <c r="J33" s="42">
        <f t="shared" si="6"/>
        <v>0.38279932546374368</v>
      </c>
      <c r="K33" s="42">
        <f t="shared" si="6"/>
        <v>0.43495145631067961</v>
      </c>
      <c r="L33" s="42">
        <f t="shared" si="6"/>
        <v>0.42760180995475111</v>
      </c>
      <c r="M33" s="42">
        <f t="shared" si="6"/>
        <v>0.39516129032258063</v>
      </c>
      <c r="N33" s="42">
        <f t="shared" si="6"/>
        <v>0.31306990881458968</v>
      </c>
      <c r="O33" s="42">
        <f t="shared" si="6"/>
        <v>0.44444444444444442</v>
      </c>
      <c r="P33" s="42">
        <f t="shared" si="6"/>
        <v>1</v>
      </c>
      <c r="Q33" s="42">
        <f t="shared" si="6"/>
        <v>0.17473684210526316</v>
      </c>
      <c r="R33" s="42">
        <f t="shared" si="6"/>
        <v>0.18143459915611815</v>
      </c>
      <c r="S33" s="43">
        <f t="shared" si="6"/>
        <v>0.33421052631578946</v>
      </c>
      <c r="T33" s="19">
        <f t="shared" si="5"/>
        <v>0.22272385252069227</v>
      </c>
      <c r="U33" s="20">
        <f t="shared" si="5"/>
        <v>0.24029812387561042</v>
      </c>
      <c r="V33" s="21">
        <f t="shared" si="5"/>
        <v>0.26252434059125512</v>
      </c>
    </row>
    <row r="34" spans="1:25" ht="15" thickBot="1" x14ac:dyDescent="0.45">
      <c r="A34" s="38" t="str">
        <f>A5</f>
        <v>Unsheltered Homeless</v>
      </c>
      <c r="B34" s="39">
        <f>B5/B$3</f>
        <v>0.5865257595772787</v>
      </c>
      <c r="C34" s="39">
        <f t="shared" si="6"/>
        <v>0.75232774674115455</v>
      </c>
      <c r="D34" s="39">
        <f t="shared" si="6"/>
        <v>0.72746113989637307</v>
      </c>
      <c r="E34" s="39">
        <f t="shared" si="6"/>
        <v>0.71539206195546956</v>
      </c>
      <c r="F34" s="39">
        <f t="shared" si="6"/>
        <v>0.73138548539114046</v>
      </c>
      <c r="G34" s="39">
        <f t="shared" si="6"/>
        <v>0.8094645080946451</v>
      </c>
      <c r="H34" s="39">
        <f t="shared" si="6"/>
        <v>0.54516640253565773</v>
      </c>
      <c r="I34" s="39">
        <f t="shared" si="6"/>
        <v>0.58958652373660025</v>
      </c>
      <c r="J34" s="39">
        <f t="shared" si="6"/>
        <v>0.61720067453625638</v>
      </c>
      <c r="K34" s="39">
        <f t="shared" si="6"/>
        <v>0.56504854368932034</v>
      </c>
      <c r="L34" s="39">
        <f t="shared" si="6"/>
        <v>0.57239819004524883</v>
      </c>
      <c r="M34" s="39">
        <f t="shared" si="6"/>
        <v>0.60483870967741937</v>
      </c>
      <c r="N34" s="39">
        <f t="shared" si="6"/>
        <v>0.68693009118541037</v>
      </c>
      <c r="O34" s="39">
        <f t="shared" si="6"/>
        <v>0.55555555555555558</v>
      </c>
      <c r="P34" s="39">
        <f t="shared" si="6"/>
        <v>0</v>
      </c>
      <c r="Q34" s="39">
        <f t="shared" si="6"/>
        <v>0.82526315789473681</v>
      </c>
      <c r="R34" s="39">
        <f t="shared" si="6"/>
        <v>0.81856540084388185</v>
      </c>
      <c r="S34" s="40">
        <f t="shared" si="6"/>
        <v>0.66578947368421049</v>
      </c>
      <c r="T34" s="22">
        <f t="shared" si="5"/>
        <v>0.77727614747930773</v>
      </c>
      <c r="U34" s="23">
        <f t="shared" si="5"/>
        <v>0.75970187612438955</v>
      </c>
      <c r="V34" s="24">
        <f t="shared" si="5"/>
        <v>0.73747565940874493</v>
      </c>
    </row>
    <row r="35" spans="1:25" ht="15" thickBot="1" x14ac:dyDescent="0.45"/>
    <row r="36" spans="1:25" ht="15" thickBot="1" x14ac:dyDescent="0.45">
      <c r="T36" s="57" t="s">
        <v>7</v>
      </c>
      <c r="U36" s="58"/>
      <c r="V36" s="59"/>
    </row>
    <row r="37" spans="1:25" ht="15" thickBot="1" x14ac:dyDescent="0.45">
      <c r="A37" s="37" t="s">
        <v>7</v>
      </c>
      <c r="B37" s="17">
        <f>B31</f>
        <v>2007</v>
      </c>
      <c r="C37" s="17">
        <f t="shared" ref="C37:S37" si="7">C31</f>
        <v>2008</v>
      </c>
      <c r="D37" s="17">
        <f t="shared" si="7"/>
        <v>2009</v>
      </c>
      <c r="E37" s="17">
        <f t="shared" si="7"/>
        <v>2010</v>
      </c>
      <c r="F37" s="17">
        <f t="shared" si="7"/>
        <v>2011</v>
      </c>
      <c r="G37" s="17">
        <f t="shared" si="7"/>
        <v>2012</v>
      </c>
      <c r="H37" s="17">
        <f t="shared" si="7"/>
        <v>2013</v>
      </c>
      <c r="I37" s="17">
        <f t="shared" si="7"/>
        <v>2014</v>
      </c>
      <c r="J37" s="17">
        <f t="shared" si="7"/>
        <v>2015</v>
      </c>
      <c r="K37" s="17">
        <f t="shared" si="7"/>
        <v>2016</v>
      </c>
      <c r="L37" s="17">
        <f t="shared" si="7"/>
        <v>2017</v>
      </c>
      <c r="M37" s="17">
        <f t="shared" si="7"/>
        <v>2018</v>
      </c>
      <c r="N37" s="17">
        <f t="shared" si="7"/>
        <v>2019</v>
      </c>
      <c r="O37" s="17">
        <f t="shared" si="7"/>
        <v>2020</v>
      </c>
      <c r="P37" s="17">
        <f t="shared" si="7"/>
        <v>2021</v>
      </c>
      <c r="Q37" s="17">
        <f t="shared" si="7"/>
        <v>2022</v>
      </c>
      <c r="R37" s="17">
        <f t="shared" si="7"/>
        <v>2023</v>
      </c>
      <c r="S37" s="18">
        <f t="shared" si="7"/>
        <v>2024</v>
      </c>
      <c r="T37" s="30">
        <f>S37+1</f>
        <v>2025</v>
      </c>
      <c r="U37" s="30">
        <f t="shared" ref="U37:V37" si="8">T37+1</f>
        <v>2026</v>
      </c>
      <c r="V37" s="30">
        <f t="shared" si="8"/>
        <v>2027</v>
      </c>
      <c r="X37" s="65" t="s">
        <v>8</v>
      </c>
      <c r="Y37" s="66"/>
    </row>
    <row r="38" spans="1:25" x14ac:dyDescent="0.4">
      <c r="A38" s="44" t="str" cm="1">
        <f t="array" ref="A38:A40">A32:A34</f>
        <v>Overall Homeless</v>
      </c>
      <c r="B38" s="45"/>
      <c r="C38" s="45">
        <f t="shared" ref="C38:V38" si="9">(C3/B3)-1</f>
        <v>0.41875825627476893</v>
      </c>
      <c r="D38" s="45">
        <f t="shared" si="9"/>
        <v>-0.1014897579143389</v>
      </c>
      <c r="E38" s="45">
        <f t="shared" si="9"/>
        <v>7.0466321243523256E-2</v>
      </c>
      <c r="F38" s="45">
        <f t="shared" si="9"/>
        <v>2.7105517909002952E-2</v>
      </c>
      <c r="G38" s="45">
        <f t="shared" si="9"/>
        <v>0.5136663524976437</v>
      </c>
      <c r="H38" s="45">
        <f t="shared" si="9"/>
        <v>-0.60709838107098379</v>
      </c>
      <c r="I38" s="45">
        <f t="shared" si="9"/>
        <v>3.4865293185419866E-2</v>
      </c>
      <c r="J38" s="45">
        <f t="shared" si="9"/>
        <v>-9.1883614088820842E-2</v>
      </c>
      <c r="K38" s="45">
        <f t="shared" si="9"/>
        <v>-0.13153456998313662</v>
      </c>
      <c r="L38" s="45">
        <f t="shared" si="9"/>
        <v>-0.14174757281553396</v>
      </c>
      <c r="M38" s="45">
        <f t="shared" si="9"/>
        <v>-0.15837104072398189</v>
      </c>
      <c r="N38" s="45">
        <f t="shared" si="9"/>
        <v>-0.11559139784946237</v>
      </c>
      <c r="O38" s="45">
        <f t="shared" si="9"/>
        <v>-9.7264437689969618E-2</v>
      </c>
      <c r="P38" s="45">
        <f t="shared" si="9"/>
        <v>-0.81818181818181812</v>
      </c>
      <c r="Q38" s="45">
        <f t="shared" si="9"/>
        <v>7.7962962962962958</v>
      </c>
      <c r="R38" s="45">
        <f t="shared" si="9"/>
        <v>-2.1052631578947212E-3</v>
      </c>
      <c r="S38" s="46">
        <f t="shared" si="9"/>
        <v>-0.19831223628691985</v>
      </c>
      <c r="T38" s="32">
        <f t="shared" si="9"/>
        <v>0.16578947368421049</v>
      </c>
      <c r="U38" s="33">
        <f t="shared" si="9"/>
        <v>-2.407825432656141E-2</v>
      </c>
      <c r="V38" s="34">
        <f t="shared" si="9"/>
        <v>-3.2125417630429309E-2</v>
      </c>
      <c r="W38" s="25"/>
      <c r="X38" s="53">
        <f>_xlfn.STDEV.S(C38:O38,R38:S38)</f>
        <v>0.25851215178222214</v>
      </c>
      <c r="Y38" s="54"/>
    </row>
    <row r="39" spans="1:25" x14ac:dyDescent="0.4">
      <c r="A39" s="41" t="str">
        <v>Sheltered Total Homeless</v>
      </c>
      <c r="B39" s="42"/>
      <c r="C39" s="42">
        <f t="shared" ref="C39:V39" si="10">(C4/B4)-1</f>
        <v>-0.15015974440894564</v>
      </c>
      <c r="D39" s="42">
        <f t="shared" si="10"/>
        <v>-1.1278195488721776E-2</v>
      </c>
      <c r="E39" s="42">
        <f t="shared" si="10"/>
        <v>0.11787072243346008</v>
      </c>
      <c r="F39" s="42">
        <f t="shared" si="10"/>
        <v>-3.0612244897959218E-2</v>
      </c>
      <c r="G39" s="42">
        <f t="shared" si="10"/>
        <v>7.3684210526315796E-2</v>
      </c>
      <c r="H39" s="42">
        <f t="shared" si="10"/>
        <v>-6.2091503267973858E-2</v>
      </c>
      <c r="I39" s="42">
        <f t="shared" si="10"/>
        <v>-6.6202090592334506E-2</v>
      </c>
      <c r="J39" s="42">
        <f t="shared" si="10"/>
        <v>-0.15298507462686572</v>
      </c>
      <c r="K39" s="42">
        <f t="shared" si="10"/>
        <v>-1.3215859030836996E-2</v>
      </c>
      <c r="L39" s="42">
        <f t="shared" si="10"/>
        <v>-0.15625</v>
      </c>
      <c r="M39" s="42">
        <f t="shared" si="10"/>
        <v>-0.22222222222222221</v>
      </c>
      <c r="N39" s="42">
        <f t="shared" si="10"/>
        <v>-0.29931972789115646</v>
      </c>
      <c r="O39" s="42">
        <f t="shared" si="10"/>
        <v>0.28155339805825252</v>
      </c>
      <c r="P39" s="42">
        <f t="shared" si="10"/>
        <v>-0.59090909090909083</v>
      </c>
      <c r="Q39" s="42">
        <f t="shared" si="10"/>
        <v>0.53703703703703698</v>
      </c>
      <c r="R39" s="42">
        <f t="shared" si="10"/>
        <v>3.6144578313253017E-2</v>
      </c>
      <c r="S39" s="43">
        <f t="shared" si="10"/>
        <v>0.47674418604651159</v>
      </c>
      <c r="T39" s="26">
        <f t="shared" si="10"/>
        <v>-0.2230971128608924</v>
      </c>
      <c r="U39" s="20">
        <f t="shared" si="10"/>
        <v>5.2927927927927998E-2</v>
      </c>
      <c r="V39" s="21">
        <f t="shared" si="10"/>
        <v>5.7397504456327963E-2</v>
      </c>
      <c r="W39" s="25"/>
      <c r="X39" s="53">
        <f t="shared" ref="X39:X40" si="11">_xlfn.STDEV.S(C39:O39,R39:S39)</f>
        <v>0.19710127922261256</v>
      </c>
      <c r="Y39" s="54"/>
    </row>
    <row r="40" spans="1:25" ht="15" thickBot="1" x14ac:dyDescent="0.45">
      <c r="A40" s="38" t="str">
        <v>Unsheltered Homeless</v>
      </c>
      <c r="B40" s="39"/>
      <c r="C40" s="39">
        <f t="shared" ref="C40:P40" si="12">(C5/B5)-1</f>
        <v>0.81981981981981988</v>
      </c>
      <c r="D40" s="39">
        <f t="shared" si="12"/>
        <v>-0.13118811881188119</v>
      </c>
      <c r="E40" s="39">
        <f t="shared" si="12"/>
        <v>5.2706552706552667E-2</v>
      </c>
      <c r="F40" s="39">
        <f t="shared" si="12"/>
        <v>5.0067658998646847E-2</v>
      </c>
      <c r="G40" s="39">
        <f t="shared" si="12"/>
        <v>0.67525773195876293</v>
      </c>
      <c r="H40" s="39">
        <f t="shared" si="12"/>
        <v>-0.7353846153846153</v>
      </c>
      <c r="I40" s="39">
        <f t="shared" si="12"/>
        <v>0.1191860465116279</v>
      </c>
      <c r="J40" s="39">
        <f t="shared" si="12"/>
        <v>-4.9350649350649367E-2</v>
      </c>
      <c r="K40" s="39">
        <f t="shared" si="12"/>
        <v>-0.20491803278688525</v>
      </c>
      <c r="L40" s="39">
        <f t="shared" si="12"/>
        <v>-0.13058419243986252</v>
      </c>
      <c r="M40" s="39">
        <f t="shared" si="12"/>
        <v>-0.11067193675889331</v>
      </c>
      <c r="N40" s="39">
        <f t="shared" si="12"/>
        <v>4.4444444444444731E-3</v>
      </c>
      <c r="O40" s="39">
        <f t="shared" si="12"/>
        <v>-0.26991150442477874</v>
      </c>
      <c r="P40" s="39">
        <f t="shared" si="12"/>
        <v>-1</v>
      </c>
      <c r="Q40" s="39" t="str">
        <f>IF(P5=0,"",(Q5/P5)-1)</f>
        <v/>
      </c>
      <c r="R40" s="39">
        <f>(R5/Q5)-1</f>
        <v>-1.0204081632653073E-2</v>
      </c>
      <c r="S40" s="40">
        <f>(S5/R5)-1</f>
        <v>-0.34793814432989689</v>
      </c>
      <c r="T40" s="27">
        <f>(T5/S5)-1</f>
        <v>0.36100131752305664</v>
      </c>
      <c r="U40" s="23">
        <f>(U5/T5)-1</f>
        <v>-4.6143917392707401E-2</v>
      </c>
      <c r="V40" s="24">
        <f>(V5/U5)-1</f>
        <v>-6.0442038791159169E-2</v>
      </c>
      <c r="W40" s="25"/>
      <c r="X40" s="55">
        <f t="shared" si="11"/>
        <v>0.37497816156499542</v>
      </c>
      <c r="Y40" s="56"/>
    </row>
  </sheetData>
  <mergeCells count="8">
    <mergeCell ref="X39:Y39"/>
    <mergeCell ref="X40:Y40"/>
    <mergeCell ref="B1:Q1"/>
    <mergeCell ref="T1:V1"/>
    <mergeCell ref="T30:V30"/>
    <mergeCell ref="T36:V36"/>
    <mergeCell ref="X37:Y37"/>
    <mergeCell ref="X38:Y38"/>
  </mergeCells>
  <pageMargins left="0.7" right="0.7" top="0.75" bottom="0.75" header="0.3" footer="0.3"/>
  <drawing r:id="rId1"/>
  <legacy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367D228-5BAF-4290-A26D-46F6EE1C49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Cumberland!T38:T38</xm:f>
              <xm:sqref>T38</xm:sqref>
            </x14:sparkline>
          </x14:sparklines>
        </x14:sparklineGroup>
        <x14:sparklineGroup displayEmptyCellsAs="gap" xr2:uid="{AA51F819-7059-4E27-8C34-C2B607AE40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Cumberland!U38:U38</xm:f>
              <xm:sqref>U38</xm:sqref>
            </x14:sparkline>
          </x14:sparklines>
        </x14:sparklineGroup>
        <x14:sparklineGroup displayEmptyCellsAs="gap" xr2:uid="{EBF2ED77-5CF4-445E-9392-3C47B05EA4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Cumberland!V38:V38</xm:f>
              <xm:sqref>V38</xm:sqref>
            </x14:sparkline>
          </x14:sparklines>
        </x14:sparklineGroup>
        <x14:sparklineGroup displayEmptyCellsAs="gap" xr2:uid="{25AC4E12-292D-447E-8677-A308A03FD9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Cumberland!C38:C38</xm:f>
              <xm:sqref>C38</xm:sqref>
            </x14:sparkline>
            <x14:sparkline>
              <xm:f>Cumberland!D38:D38</xm:f>
              <xm:sqref>D38</xm:sqref>
            </x14:sparkline>
            <x14:sparkline>
              <xm:f>Cumberland!E38:E38</xm:f>
              <xm:sqref>E38</xm:sqref>
            </x14:sparkline>
            <x14:sparkline>
              <xm:f>Cumberland!F38:F38</xm:f>
              <xm:sqref>F38</xm:sqref>
            </x14:sparkline>
            <x14:sparkline>
              <xm:f>Cumberland!G38:G38</xm:f>
              <xm:sqref>G38</xm:sqref>
            </x14:sparkline>
            <x14:sparkline>
              <xm:f>Cumberland!H38:H38</xm:f>
              <xm:sqref>H38</xm:sqref>
            </x14:sparkline>
            <x14:sparkline>
              <xm:f>Cumberland!I38:I38</xm:f>
              <xm:sqref>I38</xm:sqref>
            </x14:sparkline>
            <x14:sparkline>
              <xm:f>Cumberland!J38:J38</xm:f>
              <xm:sqref>J38</xm:sqref>
            </x14:sparkline>
            <x14:sparkline>
              <xm:f>Cumberland!K38:K38</xm:f>
              <xm:sqref>K38</xm:sqref>
            </x14:sparkline>
            <x14:sparkline>
              <xm:f>Cumberland!L38:L38</xm:f>
              <xm:sqref>L38</xm:sqref>
            </x14:sparkline>
            <x14:sparkline>
              <xm:f>Cumberland!M38:M38</xm:f>
              <xm:sqref>M38</xm:sqref>
            </x14:sparkline>
            <x14:sparkline>
              <xm:f>Cumberland!N38:N38</xm:f>
              <xm:sqref>N38</xm:sqref>
            </x14:sparkline>
            <x14:sparkline>
              <xm:f>Cumberland!O38:O38</xm:f>
              <xm:sqref>O38</xm:sqref>
            </x14:sparkline>
            <x14:sparkline>
              <xm:f>Cumberland!P38:P38</xm:f>
              <xm:sqref>P38</xm:sqref>
            </x14:sparkline>
            <x14:sparkline>
              <xm:f>Cumberland!Q38:Q38</xm:f>
              <xm:sqref>Q38</xm:sqref>
            </x14:sparkline>
            <x14:sparkline>
              <xm:f>Cumberland!R38:R38</xm:f>
              <xm:sqref>R38</xm:sqref>
            </x14:sparkline>
            <x14:sparkline>
              <xm:f>Cumberland!S38:S38</xm:f>
              <xm:sqref>S38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EEF6-D3C7-42EA-B430-D69961DF7B3D}">
  <dimension ref="A1:V5"/>
  <sheetViews>
    <sheetView topLeftCell="I1" zoomScale="50" zoomScaleNormal="50" workbookViewId="0">
      <selection activeCell="S8" sqref="S8"/>
    </sheetView>
  </sheetViews>
  <sheetFormatPr defaultRowHeight="14.6" x14ac:dyDescent="0.4"/>
  <cols>
    <col min="1" max="1" width="29.3046875" bestFit="1" customWidth="1"/>
  </cols>
  <sheetData>
    <row r="1" spans="1:22" x14ac:dyDescent="0.4">
      <c r="T1" s="113" t="s">
        <v>15</v>
      </c>
      <c r="U1" s="113"/>
      <c r="V1" s="113"/>
    </row>
    <row r="2" spans="1:22" x14ac:dyDescent="0.4">
      <c r="A2" t="s">
        <v>22</v>
      </c>
      <c r="B2" s="67">
        <f>Cumberland!B2</f>
        <v>2007</v>
      </c>
      <c r="C2" s="67">
        <f>Cumberland!C2</f>
        <v>2008</v>
      </c>
      <c r="D2" s="67">
        <f>Cumberland!D2</f>
        <v>2009</v>
      </c>
      <c r="E2" s="67">
        <f>Cumberland!E2</f>
        <v>2010</v>
      </c>
      <c r="F2" s="67">
        <f>Cumberland!F2</f>
        <v>2011</v>
      </c>
      <c r="G2" s="67">
        <f>Cumberland!G2</f>
        <v>2012</v>
      </c>
      <c r="H2" s="67">
        <f>Cumberland!H2</f>
        <v>2013</v>
      </c>
      <c r="I2" s="67">
        <f>Cumberland!I2</f>
        <v>2014</v>
      </c>
      <c r="J2" s="67">
        <f>Cumberland!J2</f>
        <v>2015</v>
      </c>
      <c r="K2" s="67">
        <f>Cumberland!K2</f>
        <v>2016</v>
      </c>
      <c r="L2" s="67">
        <f>Cumberland!L2</f>
        <v>2017</v>
      </c>
      <c r="M2" s="67">
        <f>Cumberland!M2</f>
        <v>2018</v>
      </c>
      <c r="N2" s="67">
        <f>Cumberland!N2</f>
        <v>2019</v>
      </c>
      <c r="O2" s="67">
        <f>Cumberland!O2</f>
        <v>2020</v>
      </c>
      <c r="P2" s="67">
        <f>Cumberland!P2</f>
        <v>2021</v>
      </c>
      <c r="Q2" s="67">
        <f>Cumberland!Q2</f>
        <v>2022</v>
      </c>
      <c r="R2" s="67">
        <f>Cumberland!R2</f>
        <v>2023</v>
      </c>
      <c r="S2" s="67">
        <f>Cumberland!S2</f>
        <v>2024</v>
      </c>
      <c r="T2" s="114">
        <f>Cumberland!T2</f>
        <v>2025</v>
      </c>
      <c r="U2" s="114">
        <f>Cumberland!U2</f>
        <v>2026</v>
      </c>
      <c r="V2" s="114">
        <f>Cumberland!V2</f>
        <v>2027</v>
      </c>
    </row>
    <row r="3" spans="1:22" x14ac:dyDescent="0.4">
      <c r="A3" t="str">
        <f>Cumberland!A3</f>
        <v>Overall Homeless</v>
      </c>
      <c r="B3" s="112">
        <f>Cumberland!B3/NC!B3</f>
        <v>6.4141670903236733E-2</v>
      </c>
      <c r="C3" s="112">
        <f>Cumberland!C3/NC!C3</f>
        <v>8.6536137297558616E-2</v>
      </c>
      <c r="D3" s="112">
        <f>Cumberland!D3/NC!D3</f>
        <v>7.4701966248645307E-2</v>
      </c>
      <c r="E3" s="112">
        <f>Cumberland!E3/NC!E3</f>
        <v>8.4734640308424244E-2</v>
      </c>
      <c r="F3" s="112">
        <f>Cumberland!F3/NC!F3</f>
        <v>8.2273573200992559E-2</v>
      </c>
      <c r="G3" s="112">
        <f>Cumberland!G3/NC!G3</f>
        <v>0.11875184856551316</v>
      </c>
      <c r="H3" s="112">
        <f>Cumberland!H3/NC!H3</f>
        <v>5.1857330703484548E-2</v>
      </c>
      <c r="I3" s="112">
        <f>Cumberland!I3/NC!I3</f>
        <v>5.6827082064224176E-2</v>
      </c>
      <c r="J3" s="112">
        <f>Cumberland!J3/NC!J3</f>
        <v>5.549836218998596E-2</v>
      </c>
      <c r="K3" s="112">
        <f>Cumberland!K3/NC!K3</f>
        <v>5.3875928444397952E-2</v>
      </c>
      <c r="L3" s="112">
        <f>Cumberland!L3/NC!L3</f>
        <v>4.9319348359741132E-2</v>
      </c>
      <c r="M3" s="112">
        <f>Cumberland!M3/NC!M3</f>
        <v>4.0138109624514459E-2</v>
      </c>
      <c r="N3" s="112">
        <f>Cumberland!N3/NC!N3</f>
        <v>3.5323169422374921E-2</v>
      </c>
      <c r="O3" s="112">
        <f>Cumberland!O3/NC!O3</f>
        <v>3.2004310344827584E-2</v>
      </c>
      <c r="P3" s="112">
        <f>Cumberland!P3/NC!P3</f>
        <v>7.4493033521865083E-3</v>
      </c>
      <c r="Q3" s="112">
        <f>Cumberland!Q3/NC!Q3</f>
        <v>5.0628863781709658E-2</v>
      </c>
      <c r="R3" s="112">
        <f>Cumberland!R3/NC!R3</f>
        <v>4.8595448021324587E-2</v>
      </c>
      <c r="S3" s="112">
        <f>Cumberland!S3/NC!S3</f>
        <v>3.2685360399105454E-2</v>
      </c>
      <c r="T3" s="115">
        <f>Cumberland!T3/NC!T3</f>
        <v>4.3202652623366491E-2</v>
      </c>
      <c r="U3" s="115">
        <f>Cumberland!U3/NC!U3</f>
        <v>4.1000189669343115E-2</v>
      </c>
      <c r="V3" s="115">
        <f>Cumberland!V3/NC!V3</f>
        <v>3.8715381294076527E-2</v>
      </c>
    </row>
    <row r="4" spans="1:22" x14ac:dyDescent="0.4">
      <c r="A4" t="str">
        <f>Cumberland!A4</f>
        <v>Sheltered Total Homeless</v>
      </c>
      <c r="B4" s="112">
        <f>Cumberland!B4/NC!B4</f>
        <v>3.972585353471253E-2</v>
      </c>
      <c r="C4" s="112">
        <f>Cumberland!C4/NC!C4</f>
        <v>3.3146417445482863E-2</v>
      </c>
      <c r="D4" s="112">
        <f>Cumberland!D4/NC!D4</f>
        <v>3.1039773397852001E-2</v>
      </c>
      <c r="E4" s="112">
        <f>Cumberland!E4/NC!E4</f>
        <v>3.2050583233402374E-2</v>
      </c>
      <c r="F4" s="112">
        <f>Cumberland!F4/NC!F4</f>
        <v>3.0827474310438075E-2</v>
      </c>
      <c r="G4" s="112">
        <f>Cumberland!G4/NC!G4</f>
        <v>3.473720059030537E-2</v>
      </c>
      <c r="H4" s="112">
        <f>Cumberland!H4/NC!H4</f>
        <v>3.1842893598136024E-2</v>
      </c>
      <c r="I4" s="112">
        <f>Cumberland!I4/NC!I4</f>
        <v>3.0200585981519045E-2</v>
      </c>
      <c r="J4" s="112">
        <f>Cumberland!J4/NC!J4</f>
        <v>2.7481840193704601E-2</v>
      </c>
      <c r="K4" s="112">
        <f>Cumberland!K4/NC!K4</f>
        <v>3.0896551724137931E-2</v>
      </c>
      <c r="L4" s="112">
        <f>Cumberland!L4/NC!L4</f>
        <v>2.9027799109199816E-2</v>
      </c>
      <c r="M4" s="112">
        <f>Cumberland!M4/NC!M4</f>
        <v>2.1560574948665298E-2</v>
      </c>
      <c r="N4" s="112">
        <f>Cumberland!N4/NC!N4</f>
        <v>1.4618223105307976E-2</v>
      </c>
      <c r="O4" s="112">
        <f>Cumberland!O4/NC!O4</f>
        <v>1.9637012793811366E-2</v>
      </c>
      <c r="P4" s="112">
        <f>Cumberland!P4/NC!P4</f>
        <v>9.6222380612972207E-3</v>
      </c>
      <c r="Q4" s="112">
        <f>Cumberland!Q4/NC!Q4</f>
        <v>1.4417231196803892E-2</v>
      </c>
      <c r="R4" s="112">
        <f>Cumberland!R4/NC!R4</f>
        <v>1.3627000475360482E-2</v>
      </c>
      <c r="S4" s="112">
        <f>Cumberland!S4/NC!S4</f>
        <v>1.7879769111642969E-2</v>
      </c>
      <c r="T4" s="115">
        <f>Cumberland!T4/NC!T4</f>
        <v>1.5439987481091233E-2</v>
      </c>
      <c r="U4" s="115">
        <f>Cumberland!U4/NC!U4</f>
        <v>1.5737296551259827E-2</v>
      </c>
      <c r="V4" s="115">
        <f>Cumberland!V4/NC!V4</f>
        <v>1.6400059717007736E-2</v>
      </c>
    </row>
    <row r="5" spans="1:22" x14ac:dyDescent="0.4">
      <c r="A5" t="str">
        <f>Cumberland!A5</f>
        <v>Unsheltered Homeless</v>
      </c>
      <c r="B5" s="112">
        <f>Cumberland!B5/NC!B5</f>
        <v>0.11317868977823095</v>
      </c>
      <c r="C5" s="112">
        <f>Cumberland!C5/NC!C5</f>
        <v>0.18422252621979024</v>
      </c>
      <c r="D5" s="112">
        <f>Cumberland!D5/NC!D5</f>
        <v>0.15793025871766028</v>
      </c>
      <c r="E5" s="112">
        <f>Cumberland!E5/NC!E5</f>
        <v>0.24486414844267726</v>
      </c>
      <c r="F5" s="112">
        <f>Cumberland!F5/NC!F5</f>
        <v>0.21254450835387564</v>
      </c>
      <c r="G5" s="112">
        <f>Cumberland!G5/NC!G5</f>
        <v>0.27571580063626722</v>
      </c>
      <c r="H5" s="112">
        <f>Cumberland!H5/NC!H5</f>
        <v>0.10903328050713154</v>
      </c>
      <c r="I5" s="112">
        <f>Cumberland!I5/NC!I5</f>
        <v>0.14711501719526174</v>
      </c>
      <c r="J5" s="112">
        <f>Cumberland!J5/NC!J5</f>
        <v>0.15092783505154639</v>
      </c>
      <c r="K5" s="112">
        <f>Cumberland!K5/NC!K5</f>
        <v>0.12602858380251192</v>
      </c>
      <c r="L5" s="112">
        <f>Cumberland!L5/NC!L5</f>
        <v>0.10322317421460628</v>
      </c>
      <c r="M5" s="112">
        <f>Cumberland!M5/NC!M5</f>
        <v>9.1836734693877556E-2</v>
      </c>
      <c r="N5" s="112">
        <f>Cumberland!N5/NC!N5</f>
        <v>9.9647266313932975E-2</v>
      </c>
      <c r="O5" s="112">
        <f>Cumberland!O5/NC!O5</f>
        <v>6.4503518373729474E-2</v>
      </c>
      <c r="P5" s="112">
        <f>Cumberland!P5/NC!P5</f>
        <v>0</v>
      </c>
      <c r="Q5" s="112">
        <f>Cumberland!Q5/NC!Q5</f>
        <v>0.10813793103448276</v>
      </c>
      <c r="R5" s="112">
        <f>Cumberland!R5/NC!R5</f>
        <v>0.11269241940168458</v>
      </c>
      <c r="S5" s="112">
        <f>Cumberland!S5/NC!S5</f>
        <v>5.5936325447711696E-2</v>
      </c>
      <c r="T5" s="115">
        <f>Cumberland!T5/NC!T5</f>
        <v>8.9120869640238118E-2</v>
      </c>
      <c r="U5" s="115">
        <f>Cumberland!U5/NC!U5</f>
        <v>8.3293414860942813E-2</v>
      </c>
      <c r="V5" s="115">
        <f>Cumberland!V5/NC!V5</f>
        <v>7.5084032477538767E-2</v>
      </c>
    </row>
  </sheetData>
  <mergeCells count="1">
    <mergeCell ref="T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</vt:lpstr>
      <vt:lpstr>NC</vt:lpstr>
      <vt:lpstr>Cumberland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Braeden S</dc:creator>
  <cp:lastModifiedBy>Baker, Braeden S</cp:lastModifiedBy>
  <dcterms:created xsi:type="dcterms:W3CDTF">2026-04-27T18:16:04Z</dcterms:created>
  <dcterms:modified xsi:type="dcterms:W3CDTF">2026-04-30T03:03:46Z</dcterms:modified>
</cp:coreProperties>
</file>